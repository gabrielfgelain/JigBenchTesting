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saios" sheetId="1" state="visible" r:id="rId1"/>
    <sheet name="Resumo" sheetId="2" state="visible" r:id="rId2"/>
    <sheet name="Parametros" sheetId="3" state="visible" r:id="rId3"/>
    <sheet name="Legenda" sheetId="4" state="visible" r:id="rId4"/>
  </sheets>
  <definedNames>
    <definedName name="_xlnm._FilterDatabase" localSheetId="0" hidden="1">'Ensaios'!$A$1:$N$1137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000"/>
  </numFmts>
  <fonts count="8">
    <font>
      <name val="Calibri"/>
      <family val="2"/>
      <color theme="1"/>
      <sz val="11"/>
      <scheme val="minor"/>
    </font>
    <font>
      <name val="Arial"/>
    </font>
    <font>
      <name val="Arial"/>
      <color rgb="000000FF"/>
    </font>
    <font>
      <name val="Arial"/>
      <b val="1"/>
      <color rgb="00FFFFFF"/>
    </font>
    <font>
      <name val="Arial"/>
      <i val="1"/>
    </font>
    <font>
      <name val="Arial"/>
      <b val="1"/>
      <sz val="12"/>
    </font>
    <font>
      <name val="Arial"/>
      <b val="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2" borderId="0" applyAlignment="1" pivotButton="0" quotePrefix="0" xfId="0">
      <alignment vertical="center" wrapText="1"/>
    </xf>
    <xf numFmtId="0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166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5" fillId="0" borderId="0" pivotButton="0" quotePrefix="0" xfId="0"/>
    <xf numFmtId="0" fontId="3" fillId="2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11" customWidth="1" min="3" max="3"/>
    <col width="11" customWidth="1" min="4" max="4"/>
    <col width="10" customWidth="1" min="5" max="5"/>
    <col width="11" customWidth="1" min="6" max="6"/>
    <col width="9" customWidth="1" min="7" max="7"/>
    <col width="13" customWidth="1" min="8" max="8"/>
    <col width="13" customWidth="1" min="9" max="9"/>
    <col width="13" customWidth="1" min="10" max="10"/>
    <col width="17" customWidth="1" min="11" max="11"/>
    <col width="34" customWidth="1" min="12" max="12"/>
    <col width="10" customWidth="1" min="13" max="13"/>
    <col width="52" customWidth="1" min="14" max="14"/>
  </cols>
  <sheetData>
    <row r="1">
      <c r="A1" s="1" t="inlineStr">
        <is>
          <t>Arquivo</t>
        </is>
      </c>
      <c r="B1" s="1" t="inlineStr">
        <is>
          <t>Pasta</t>
        </is>
      </c>
      <c r="C1" s="1" t="inlineStr">
        <is>
          <t>Potência (W)</t>
        </is>
      </c>
      <c r="D1" s="1" t="inlineStr">
        <is>
          <t>Rotação (RPM)</t>
        </is>
      </c>
      <c r="E1" s="1" t="inlineStr">
        <is>
          <t>f elétrica (Hz)</t>
        </is>
      </c>
      <c r="F1" s="1" t="inlineStr">
        <is>
          <t>Código resistores</t>
        </is>
      </c>
      <c r="G1" s="1" t="inlineStr">
        <is>
          <t>Braços ativos</t>
        </is>
      </c>
      <c r="H1" s="1" t="inlineStr">
        <is>
          <t>Capacitância (µF)</t>
        </is>
      </c>
      <c r="I1" s="1" t="inlineStr">
        <is>
          <t>R braços resistor (Ω)</t>
        </is>
      </c>
      <c r="J1" s="1" t="inlineStr">
        <is>
          <t>Resistência série (Ω)</t>
        </is>
      </c>
      <c r="K1" s="1" t="inlineStr">
        <is>
          <t>Data/hora do ensaio</t>
        </is>
      </c>
      <c r="L1" s="1" t="inlineStr">
        <is>
          <t>Status</t>
        </is>
      </c>
      <c r="M1" s="1" t="inlineStr">
        <is>
          <t>Usar na análise</t>
        </is>
      </c>
      <c r="N1" s="1" t="inlineStr">
        <is>
          <t>Observação</t>
        </is>
      </c>
    </row>
    <row r="2">
      <c r="A2" s="2" t="inlineStr">
        <is>
          <t>7Bracos_2700_R0001_80W_2026-10-09_12_20.csv</t>
        </is>
      </c>
      <c r="B2" s="2" t="inlineStr">
        <is>
          <t>80W_2700RPM_R0001</t>
        </is>
      </c>
      <c r="C2" s="2" t="n">
        <v>80</v>
      </c>
      <c r="D2" s="2" t="n">
        <v>2700</v>
      </c>
      <c r="E2" s="3">
        <f>D2*2/60</f>
        <v/>
      </c>
      <c r="F2" s="2" t="inlineStr">
        <is>
          <t>0001</t>
        </is>
      </c>
      <c r="G2" s="2" t="n">
        <v>7</v>
      </c>
      <c r="H2" s="2">
        <f>INDEX(Parametros!$B$2:$B$9,MATCH(G2,Parametros!$A$2:$A$9,0))</f>
        <v/>
      </c>
      <c r="I2" s="4">
        <f>1/(VALUE(MID(F2,1,1))/Parametros!$E$2+VALUE(MID(F2,2,1))/Parametros!$E$3+VALUE(MID(F2,3,1))/Parametros!$E$4+VALUE(MID(F2,4,1))/Parametros!$E$5)</f>
        <v/>
      </c>
      <c r="J2" s="5">
        <f>IF(G2=0,Parametros!$E$8,Parametros!$E$6+Parametros!$E$6*(Parametros!$E$7/G2+I2)/(Parametros!$E$6+Parametros!$E$7/G2+I2))</f>
        <v/>
      </c>
      <c r="K2" s="2" t="inlineStr">
        <is>
          <t>2026-10-09 12:20</t>
        </is>
      </c>
      <c r="L2" s="6" t="inlineStr">
        <is>
          <t>Válido</t>
        </is>
      </c>
      <c r="M2" s="2">
        <f>IF(L2="Válido","Sim","Não")</f>
        <v/>
      </c>
      <c r="N2" s="2" t="inlineStr"/>
    </row>
    <row r="3">
      <c r="A3" s="2" t="inlineStr">
        <is>
          <t>6Bracos_2700_R0001_80W_2026-10-09_12_20.csv</t>
        </is>
      </c>
      <c r="B3" s="2" t="inlineStr">
        <is>
          <t>80W_2700RPM_R0001</t>
        </is>
      </c>
      <c r="C3" s="2" t="n">
        <v>80</v>
      </c>
      <c r="D3" s="2" t="n">
        <v>2700</v>
      </c>
      <c r="E3" s="3">
        <f>D3*2/60</f>
        <v/>
      </c>
      <c r="F3" s="2" t="inlineStr">
        <is>
          <t>0001</t>
        </is>
      </c>
      <c r="G3" s="2" t="n">
        <v>6</v>
      </c>
      <c r="H3" s="2">
        <f>INDEX(Parametros!$B$2:$B$9,MATCH(G3,Parametros!$A$2:$A$9,0))</f>
        <v/>
      </c>
      <c r="I3" s="4">
        <f>1/(VALUE(MID(F3,1,1))/Parametros!$E$2+VALUE(MID(F3,2,1))/Parametros!$E$3+VALUE(MID(F3,3,1))/Parametros!$E$4+VALUE(MID(F3,4,1))/Parametros!$E$5)</f>
        <v/>
      </c>
      <c r="J3" s="5">
        <f>IF(G3=0,Parametros!$E$8,Parametros!$E$6+Parametros!$E$6*(Parametros!$E$7/G3+I3)/(Parametros!$E$6+Parametros!$E$7/G3+I3))</f>
        <v/>
      </c>
      <c r="K3" s="2" t="inlineStr">
        <is>
          <t>2026-10-09 12:20</t>
        </is>
      </c>
      <c r="L3" s="6" t="inlineStr">
        <is>
          <t>Válido</t>
        </is>
      </c>
      <c r="M3" s="2">
        <f>IF(L3="Válido","Sim","Não")</f>
        <v/>
      </c>
      <c r="N3" s="2" t="inlineStr"/>
    </row>
    <row r="4">
      <c r="A4" s="2" t="inlineStr">
        <is>
          <t>5Bracos_2700_R0001_80W_2026-10-09_12_20.csv</t>
        </is>
      </c>
      <c r="B4" s="2" t="inlineStr">
        <is>
          <t>80W_2700RPM_R0001</t>
        </is>
      </c>
      <c r="C4" s="2" t="n">
        <v>80</v>
      </c>
      <c r="D4" s="2" t="n">
        <v>2700</v>
      </c>
      <c r="E4" s="3">
        <f>D4*2/60</f>
        <v/>
      </c>
      <c r="F4" s="2" t="inlineStr">
        <is>
          <t>0001</t>
        </is>
      </c>
      <c r="G4" s="2" t="n">
        <v>5</v>
      </c>
      <c r="H4" s="2">
        <f>INDEX(Parametros!$B$2:$B$9,MATCH(G4,Parametros!$A$2:$A$9,0))</f>
        <v/>
      </c>
      <c r="I4" s="4">
        <f>1/(VALUE(MID(F4,1,1))/Parametros!$E$2+VALUE(MID(F4,2,1))/Parametros!$E$3+VALUE(MID(F4,3,1))/Parametros!$E$4+VALUE(MID(F4,4,1))/Parametros!$E$5)</f>
        <v/>
      </c>
      <c r="J4" s="5">
        <f>IF(G4=0,Parametros!$E$8,Parametros!$E$6+Parametros!$E$6*(Parametros!$E$7/G4+I4)/(Parametros!$E$6+Parametros!$E$7/G4+I4))</f>
        <v/>
      </c>
      <c r="K4" s="2" t="inlineStr">
        <is>
          <t>2026-10-09 12:20</t>
        </is>
      </c>
      <c r="L4" s="6" t="inlineStr">
        <is>
          <t>Válido</t>
        </is>
      </c>
      <c r="M4" s="2">
        <f>IF(L4="Válido","Sim","Não")</f>
        <v/>
      </c>
      <c r="N4" s="2" t="inlineStr"/>
    </row>
    <row r="5">
      <c r="A5" s="2" t="inlineStr">
        <is>
          <t>4Bracos_2700_R0001_80W_2026-10-09_12_20.csv</t>
        </is>
      </c>
      <c r="B5" s="2" t="inlineStr">
        <is>
          <t>80W_2700RPM_R0001</t>
        </is>
      </c>
      <c r="C5" s="2" t="n">
        <v>80</v>
      </c>
      <c r="D5" s="2" t="n">
        <v>2700</v>
      </c>
      <c r="E5" s="3">
        <f>D5*2/60</f>
        <v/>
      </c>
      <c r="F5" s="2" t="inlineStr">
        <is>
          <t>0001</t>
        </is>
      </c>
      <c r="G5" s="2" t="n">
        <v>4</v>
      </c>
      <c r="H5" s="2">
        <f>INDEX(Parametros!$B$2:$B$9,MATCH(G5,Parametros!$A$2:$A$9,0))</f>
        <v/>
      </c>
      <c r="I5" s="4">
        <f>1/(VALUE(MID(F5,1,1))/Parametros!$E$2+VALUE(MID(F5,2,1))/Parametros!$E$3+VALUE(MID(F5,3,1))/Parametros!$E$4+VALUE(MID(F5,4,1))/Parametros!$E$5)</f>
        <v/>
      </c>
      <c r="J5" s="5">
        <f>IF(G5=0,Parametros!$E$8,Parametros!$E$6+Parametros!$E$6*(Parametros!$E$7/G5+I5)/(Parametros!$E$6+Parametros!$E$7/G5+I5))</f>
        <v/>
      </c>
      <c r="K5" s="2" t="inlineStr">
        <is>
          <t>2026-10-09 12:20</t>
        </is>
      </c>
      <c r="L5" s="6" t="inlineStr">
        <is>
          <t>Válido</t>
        </is>
      </c>
      <c r="M5" s="2">
        <f>IF(L5="Válido","Sim","Não")</f>
        <v/>
      </c>
      <c r="N5" s="2" t="inlineStr"/>
    </row>
    <row r="6">
      <c r="A6" s="2" t="inlineStr">
        <is>
          <t>3Bracos_2700_R0001_80W_2026-10-09_12_20.csv</t>
        </is>
      </c>
      <c r="B6" s="2" t="inlineStr">
        <is>
          <t>80W_2700RPM_R0001</t>
        </is>
      </c>
      <c r="C6" s="2" t="n">
        <v>80</v>
      </c>
      <c r="D6" s="2" t="n">
        <v>2700</v>
      </c>
      <c r="E6" s="3">
        <f>D6*2/60</f>
        <v/>
      </c>
      <c r="F6" s="2" t="inlineStr">
        <is>
          <t>0001</t>
        </is>
      </c>
      <c r="G6" s="2" t="n">
        <v>3</v>
      </c>
      <c r="H6" s="2">
        <f>INDEX(Parametros!$B$2:$B$9,MATCH(G6,Parametros!$A$2:$A$9,0))</f>
        <v/>
      </c>
      <c r="I6" s="4">
        <f>1/(VALUE(MID(F6,1,1))/Parametros!$E$2+VALUE(MID(F6,2,1))/Parametros!$E$3+VALUE(MID(F6,3,1))/Parametros!$E$4+VALUE(MID(F6,4,1))/Parametros!$E$5)</f>
        <v/>
      </c>
      <c r="J6" s="5">
        <f>IF(G6=0,Parametros!$E$8,Parametros!$E$6+Parametros!$E$6*(Parametros!$E$7/G6+I6)/(Parametros!$E$6+Parametros!$E$7/G6+I6))</f>
        <v/>
      </c>
      <c r="K6" s="2" t="inlineStr">
        <is>
          <t>2026-10-09 12:20</t>
        </is>
      </c>
      <c r="L6" s="6" t="inlineStr">
        <is>
          <t>Válido</t>
        </is>
      </c>
      <c r="M6" s="2">
        <f>IF(L6="Válido","Sim","Não")</f>
        <v/>
      </c>
      <c r="N6" s="2" t="inlineStr"/>
    </row>
    <row r="7">
      <c r="A7" s="2" t="inlineStr">
        <is>
          <t>2Bracos_2700_R0001_80W_2026-10-09_12_20.csv</t>
        </is>
      </c>
      <c r="B7" s="2" t="inlineStr">
        <is>
          <t>80W_2700RPM_R0001</t>
        </is>
      </c>
      <c r="C7" s="2" t="n">
        <v>80</v>
      </c>
      <c r="D7" s="2" t="n">
        <v>2700</v>
      </c>
      <c r="E7" s="3">
        <f>D7*2/60</f>
        <v/>
      </c>
      <c r="F7" s="2" t="inlineStr">
        <is>
          <t>0001</t>
        </is>
      </c>
      <c r="G7" s="2" t="n">
        <v>2</v>
      </c>
      <c r="H7" s="2">
        <f>INDEX(Parametros!$B$2:$B$9,MATCH(G7,Parametros!$A$2:$A$9,0))</f>
        <v/>
      </c>
      <c r="I7" s="4">
        <f>1/(VALUE(MID(F7,1,1))/Parametros!$E$2+VALUE(MID(F7,2,1))/Parametros!$E$3+VALUE(MID(F7,3,1))/Parametros!$E$4+VALUE(MID(F7,4,1))/Parametros!$E$5)</f>
        <v/>
      </c>
      <c r="J7" s="5">
        <f>IF(G7=0,Parametros!$E$8,Parametros!$E$6+Parametros!$E$6*(Parametros!$E$7/G7+I7)/(Parametros!$E$6+Parametros!$E$7/G7+I7))</f>
        <v/>
      </c>
      <c r="K7" s="2" t="inlineStr">
        <is>
          <t>2026-10-09 12:20</t>
        </is>
      </c>
      <c r="L7" s="6" t="inlineStr">
        <is>
          <t>Válido</t>
        </is>
      </c>
      <c r="M7" s="2">
        <f>IF(L7="Válido","Sim","Não")</f>
        <v/>
      </c>
      <c r="N7" s="2" t="inlineStr"/>
    </row>
    <row r="8">
      <c r="A8" s="2" t="inlineStr">
        <is>
          <t>1Bracos_2700_R0001_80W_2026-10-09_12_20.csv</t>
        </is>
      </c>
      <c r="B8" s="2" t="inlineStr">
        <is>
          <t>80W_2700RPM_R0001</t>
        </is>
      </c>
      <c r="C8" s="2" t="n">
        <v>80</v>
      </c>
      <c r="D8" s="2" t="n">
        <v>2700</v>
      </c>
      <c r="E8" s="3">
        <f>D8*2/60</f>
        <v/>
      </c>
      <c r="F8" s="2" t="inlineStr">
        <is>
          <t>0001</t>
        </is>
      </c>
      <c r="G8" s="2" t="n">
        <v>1</v>
      </c>
      <c r="H8" s="2">
        <f>INDEX(Parametros!$B$2:$B$9,MATCH(G8,Parametros!$A$2:$A$9,0))</f>
        <v/>
      </c>
      <c r="I8" s="4">
        <f>1/(VALUE(MID(F8,1,1))/Parametros!$E$2+VALUE(MID(F8,2,1))/Parametros!$E$3+VALUE(MID(F8,3,1))/Parametros!$E$4+VALUE(MID(F8,4,1))/Parametros!$E$5)</f>
        <v/>
      </c>
      <c r="J8" s="5">
        <f>IF(G8=0,Parametros!$E$8,Parametros!$E$6+Parametros!$E$6*(Parametros!$E$7/G8+I8)/(Parametros!$E$6+Parametros!$E$7/G8+I8))</f>
        <v/>
      </c>
      <c r="K8" s="2" t="inlineStr">
        <is>
          <t>2026-10-09 12:20</t>
        </is>
      </c>
      <c r="L8" s="6" t="inlineStr">
        <is>
          <t>Válido</t>
        </is>
      </c>
      <c r="M8" s="2">
        <f>IF(L8="Válido","Sim","Não")</f>
        <v/>
      </c>
      <c r="N8" s="2" t="inlineStr"/>
    </row>
    <row r="9">
      <c r="A9" s="2" t="inlineStr">
        <is>
          <t>0Bracos_2700_R0001_80W_2026-10-09_12_20.csv</t>
        </is>
      </c>
      <c r="B9" s="2" t="inlineStr">
        <is>
          <t>80W_2700RPM_R0001</t>
        </is>
      </c>
      <c r="C9" s="2" t="n">
        <v>80</v>
      </c>
      <c r="D9" s="2" t="n">
        <v>2700</v>
      </c>
      <c r="E9" s="3">
        <f>D9*2/60</f>
        <v/>
      </c>
      <c r="F9" s="2" t="inlineStr">
        <is>
          <t>0001</t>
        </is>
      </c>
      <c r="G9" s="2" t="n">
        <v>0</v>
      </c>
      <c r="H9" s="2">
        <f>INDEX(Parametros!$B$2:$B$9,MATCH(G9,Parametros!$A$2:$A$9,0))</f>
        <v/>
      </c>
      <c r="I9" s="4">
        <f>1/(VALUE(MID(F9,1,1))/Parametros!$E$2+VALUE(MID(F9,2,1))/Parametros!$E$3+VALUE(MID(F9,3,1))/Parametros!$E$4+VALUE(MID(F9,4,1))/Parametros!$E$5)</f>
        <v/>
      </c>
      <c r="J9" s="5">
        <f>IF(G9=0,Parametros!$E$8,Parametros!$E$6+Parametros!$E$6*(Parametros!$E$7/G9+I9)/(Parametros!$E$6+Parametros!$E$7/G9+I9))</f>
        <v/>
      </c>
      <c r="K9" s="2" t="inlineStr">
        <is>
          <t>2026-10-09 12:20</t>
        </is>
      </c>
      <c r="L9" s="6" t="inlineStr">
        <is>
          <t>Válido</t>
        </is>
      </c>
      <c r="M9" s="2">
        <f>IF(L9="Válido","Sim","Não")</f>
        <v/>
      </c>
      <c r="N9" s="2" t="inlineStr"/>
    </row>
    <row r="10">
      <c r="A10" s="2" t="inlineStr">
        <is>
          <t>7Bracos_2700_R0010_80W_2026-10-09_12_20.csv</t>
        </is>
      </c>
      <c r="B10" s="2" t="inlineStr">
        <is>
          <t>80W_2700RPM_R0010</t>
        </is>
      </c>
      <c r="C10" s="2" t="n">
        <v>80</v>
      </c>
      <c r="D10" s="2" t="n">
        <v>2700</v>
      </c>
      <c r="E10" s="3">
        <f>D10*2/60</f>
        <v/>
      </c>
      <c r="F10" s="2" t="inlineStr">
        <is>
          <t>0010</t>
        </is>
      </c>
      <c r="G10" s="2" t="n">
        <v>7</v>
      </c>
      <c r="H10" s="2">
        <f>INDEX(Parametros!$B$2:$B$9,MATCH(G10,Parametros!$A$2:$A$9,0))</f>
        <v/>
      </c>
      <c r="I10" s="4">
        <f>1/(VALUE(MID(F10,1,1))/Parametros!$E$2+VALUE(MID(F10,2,1))/Parametros!$E$3+VALUE(MID(F10,3,1))/Parametros!$E$4+VALUE(MID(F10,4,1))/Parametros!$E$5)</f>
        <v/>
      </c>
      <c r="J10" s="5">
        <f>IF(G10=0,Parametros!$E$8,Parametros!$E$6+Parametros!$E$6*(Parametros!$E$7/G10+I10)/(Parametros!$E$6+Parametros!$E$7/G10+I10))</f>
        <v/>
      </c>
      <c r="K10" s="2" t="inlineStr">
        <is>
          <t>2026-10-09 12:20</t>
        </is>
      </c>
      <c r="L10" s="6" t="inlineStr">
        <is>
          <t>Válido</t>
        </is>
      </c>
      <c r="M10" s="2">
        <f>IF(L10="Válido","Sim","Não")</f>
        <v/>
      </c>
      <c r="N10" s="2" t="inlineStr"/>
    </row>
    <row r="11">
      <c r="A11" s="2" t="inlineStr">
        <is>
          <t>6Bracos_2700_R0010_80W_2026-10-09_12_20.csv</t>
        </is>
      </c>
      <c r="B11" s="2" t="inlineStr">
        <is>
          <t>80W_2700RPM_R0010</t>
        </is>
      </c>
      <c r="C11" s="2" t="n">
        <v>80</v>
      </c>
      <c r="D11" s="2" t="n">
        <v>2700</v>
      </c>
      <c r="E11" s="3">
        <f>D11*2/60</f>
        <v/>
      </c>
      <c r="F11" s="2" t="inlineStr">
        <is>
          <t>0010</t>
        </is>
      </c>
      <c r="G11" s="2" t="n">
        <v>6</v>
      </c>
      <c r="H11" s="2">
        <f>INDEX(Parametros!$B$2:$B$9,MATCH(G11,Parametros!$A$2:$A$9,0))</f>
        <v/>
      </c>
      <c r="I11" s="4">
        <f>1/(VALUE(MID(F11,1,1))/Parametros!$E$2+VALUE(MID(F11,2,1))/Parametros!$E$3+VALUE(MID(F11,3,1))/Parametros!$E$4+VALUE(MID(F11,4,1))/Parametros!$E$5)</f>
        <v/>
      </c>
      <c r="J11" s="5">
        <f>IF(G11=0,Parametros!$E$8,Parametros!$E$6+Parametros!$E$6*(Parametros!$E$7/G11+I11)/(Parametros!$E$6+Parametros!$E$7/G11+I11))</f>
        <v/>
      </c>
      <c r="K11" s="2" t="inlineStr">
        <is>
          <t>2026-10-09 12:20</t>
        </is>
      </c>
      <c r="L11" s="6" t="inlineStr">
        <is>
          <t>Válido</t>
        </is>
      </c>
      <c r="M11" s="2">
        <f>IF(L11="Válido","Sim","Não")</f>
        <v/>
      </c>
      <c r="N11" s="2" t="inlineStr"/>
    </row>
    <row r="12">
      <c r="A12" s="2" t="inlineStr">
        <is>
          <t>5Bracos_2700_R0010_80W_2026-10-09_12_20.csv</t>
        </is>
      </c>
      <c r="B12" s="2" t="inlineStr">
        <is>
          <t>80W_2700RPM_R0010</t>
        </is>
      </c>
      <c r="C12" s="2" t="n">
        <v>80</v>
      </c>
      <c r="D12" s="2" t="n">
        <v>2700</v>
      </c>
      <c r="E12" s="3">
        <f>D12*2/60</f>
        <v/>
      </c>
      <c r="F12" s="2" t="inlineStr">
        <is>
          <t>0010</t>
        </is>
      </c>
      <c r="G12" s="2" t="n">
        <v>5</v>
      </c>
      <c r="H12" s="2">
        <f>INDEX(Parametros!$B$2:$B$9,MATCH(G12,Parametros!$A$2:$A$9,0))</f>
        <v/>
      </c>
      <c r="I12" s="4">
        <f>1/(VALUE(MID(F12,1,1))/Parametros!$E$2+VALUE(MID(F12,2,1))/Parametros!$E$3+VALUE(MID(F12,3,1))/Parametros!$E$4+VALUE(MID(F12,4,1))/Parametros!$E$5)</f>
        <v/>
      </c>
      <c r="J12" s="5">
        <f>IF(G12=0,Parametros!$E$8,Parametros!$E$6+Parametros!$E$6*(Parametros!$E$7/G12+I12)/(Parametros!$E$6+Parametros!$E$7/G12+I12))</f>
        <v/>
      </c>
      <c r="K12" s="2" t="inlineStr">
        <is>
          <t>2026-10-09 12:20</t>
        </is>
      </c>
      <c r="L12" s="6" t="inlineStr">
        <is>
          <t>Válido</t>
        </is>
      </c>
      <c r="M12" s="2">
        <f>IF(L12="Válido","Sim","Não")</f>
        <v/>
      </c>
      <c r="N12" s="2" t="inlineStr"/>
    </row>
    <row r="13">
      <c r="A13" s="2" t="inlineStr">
        <is>
          <t>4Bracos_2700_R0010_80W_2026-10-09_12_20.csv</t>
        </is>
      </c>
      <c r="B13" s="2" t="inlineStr">
        <is>
          <t>80W_2700RPM_R0010</t>
        </is>
      </c>
      <c r="C13" s="2" t="n">
        <v>80</v>
      </c>
      <c r="D13" s="2" t="n">
        <v>2700</v>
      </c>
      <c r="E13" s="3">
        <f>D13*2/60</f>
        <v/>
      </c>
      <c r="F13" s="2" t="inlineStr">
        <is>
          <t>0010</t>
        </is>
      </c>
      <c r="G13" s="2" t="n">
        <v>4</v>
      </c>
      <c r="H13" s="2">
        <f>INDEX(Parametros!$B$2:$B$9,MATCH(G13,Parametros!$A$2:$A$9,0))</f>
        <v/>
      </c>
      <c r="I13" s="4">
        <f>1/(VALUE(MID(F13,1,1))/Parametros!$E$2+VALUE(MID(F13,2,1))/Parametros!$E$3+VALUE(MID(F13,3,1))/Parametros!$E$4+VALUE(MID(F13,4,1))/Parametros!$E$5)</f>
        <v/>
      </c>
      <c r="J13" s="5">
        <f>IF(G13=0,Parametros!$E$8,Parametros!$E$6+Parametros!$E$6*(Parametros!$E$7/G13+I13)/(Parametros!$E$6+Parametros!$E$7/G13+I13))</f>
        <v/>
      </c>
      <c r="K13" s="2" t="inlineStr">
        <is>
          <t>2026-10-09 12:20</t>
        </is>
      </c>
      <c r="L13" s="6" t="inlineStr">
        <is>
          <t>Válido</t>
        </is>
      </c>
      <c r="M13" s="2">
        <f>IF(L13="Válido","Sim","Não")</f>
        <v/>
      </c>
      <c r="N13" s="2" t="inlineStr"/>
    </row>
    <row r="14">
      <c r="A14" s="2" t="inlineStr">
        <is>
          <t>3Bracos_2700_R0010_80W_2026-10-09_12_20.csv</t>
        </is>
      </c>
      <c r="B14" s="2" t="inlineStr">
        <is>
          <t>80W_2700RPM_R0010</t>
        </is>
      </c>
      <c r="C14" s="2" t="n">
        <v>80</v>
      </c>
      <c r="D14" s="2" t="n">
        <v>2700</v>
      </c>
      <c r="E14" s="3">
        <f>D14*2/60</f>
        <v/>
      </c>
      <c r="F14" s="2" t="inlineStr">
        <is>
          <t>0010</t>
        </is>
      </c>
      <c r="G14" s="2" t="n">
        <v>3</v>
      </c>
      <c r="H14" s="2">
        <f>INDEX(Parametros!$B$2:$B$9,MATCH(G14,Parametros!$A$2:$A$9,0))</f>
        <v/>
      </c>
      <c r="I14" s="4">
        <f>1/(VALUE(MID(F14,1,1))/Parametros!$E$2+VALUE(MID(F14,2,1))/Parametros!$E$3+VALUE(MID(F14,3,1))/Parametros!$E$4+VALUE(MID(F14,4,1))/Parametros!$E$5)</f>
        <v/>
      </c>
      <c r="J14" s="5">
        <f>IF(G14=0,Parametros!$E$8,Parametros!$E$6+Parametros!$E$6*(Parametros!$E$7/G14+I14)/(Parametros!$E$6+Parametros!$E$7/G14+I14))</f>
        <v/>
      </c>
      <c r="K14" s="2" t="inlineStr">
        <is>
          <t>2026-10-09 12:20</t>
        </is>
      </c>
      <c r="L14" s="6" t="inlineStr">
        <is>
          <t>Válido</t>
        </is>
      </c>
      <c r="M14" s="2">
        <f>IF(L14="Válido","Sim","Não")</f>
        <v/>
      </c>
      <c r="N14" s="2" t="inlineStr"/>
    </row>
    <row r="15">
      <c r="A15" s="2" t="inlineStr">
        <is>
          <t>2Bracos_2700_R0010_80W_2026-10-09_12_20.csv</t>
        </is>
      </c>
      <c r="B15" s="2" t="inlineStr">
        <is>
          <t>80W_2700RPM_R0010</t>
        </is>
      </c>
      <c r="C15" s="2" t="n">
        <v>80</v>
      </c>
      <c r="D15" s="2" t="n">
        <v>2700</v>
      </c>
      <c r="E15" s="3">
        <f>D15*2/60</f>
        <v/>
      </c>
      <c r="F15" s="2" t="inlineStr">
        <is>
          <t>0010</t>
        </is>
      </c>
      <c r="G15" s="2" t="n">
        <v>2</v>
      </c>
      <c r="H15" s="2">
        <f>INDEX(Parametros!$B$2:$B$9,MATCH(G15,Parametros!$A$2:$A$9,0))</f>
        <v/>
      </c>
      <c r="I15" s="4">
        <f>1/(VALUE(MID(F15,1,1))/Parametros!$E$2+VALUE(MID(F15,2,1))/Parametros!$E$3+VALUE(MID(F15,3,1))/Parametros!$E$4+VALUE(MID(F15,4,1))/Parametros!$E$5)</f>
        <v/>
      </c>
      <c r="J15" s="5">
        <f>IF(G15=0,Parametros!$E$8,Parametros!$E$6+Parametros!$E$6*(Parametros!$E$7/G15+I15)/(Parametros!$E$6+Parametros!$E$7/G15+I15))</f>
        <v/>
      </c>
      <c r="K15" s="2" t="inlineStr">
        <is>
          <t>2026-10-09 12:20</t>
        </is>
      </c>
      <c r="L15" s="6" t="inlineStr">
        <is>
          <t>Válido</t>
        </is>
      </c>
      <c r="M15" s="2">
        <f>IF(L15="Válido","Sim","Não")</f>
        <v/>
      </c>
      <c r="N15" s="2" t="inlineStr"/>
    </row>
    <row r="16">
      <c r="A16" s="2" t="inlineStr">
        <is>
          <t>1Bracos_2700_R0010_80W_2026-10-09_12_20.csv</t>
        </is>
      </c>
      <c r="B16" s="2" t="inlineStr">
        <is>
          <t>80W_2700RPM_R0010</t>
        </is>
      </c>
      <c r="C16" s="2" t="n">
        <v>80</v>
      </c>
      <c r="D16" s="2" t="n">
        <v>2700</v>
      </c>
      <c r="E16" s="3">
        <f>D16*2/60</f>
        <v/>
      </c>
      <c r="F16" s="2" t="inlineStr">
        <is>
          <t>0010</t>
        </is>
      </c>
      <c r="G16" s="2" t="n">
        <v>1</v>
      </c>
      <c r="H16" s="2">
        <f>INDEX(Parametros!$B$2:$B$9,MATCH(G16,Parametros!$A$2:$A$9,0))</f>
        <v/>
      </c>
      <c r="I16" s="4">
        <f>1/(VALUE(MID(F16,1,1))/Parametros!$E$2+VALUE(MID(F16,2,1))/Parametros!$E$3+VALUE(MID(F16,3,1))/Parametros!$E$4+VALUE(MID(F16,4,1))/Parametros!$E$5)</f>
        <v/>
      </c>
      <c r="J16" s="5">
        <f>IF(G16=0,Parametros!$E$8,Parametros!$E$6+Parametros!$E$6*(Parametros!$E$7/G16+I16)/(Parametros!$E$6+Parametros!$E$7/G16+I16))</f>
        <v/>
      </c>
      <c r="K16" s="2" t="inlineStr">
        <is>
          <t>2026-10-09 12:20</t>
        </is>
      </c>
      <c r="L16" s="6" t="inlineStr">
        <is>
          <t>Válido</t>
        </is>
      </c>
      <c r="M16" s="2">
        <f>IF(L16="Válido","Sim","Não")</f>
        <v/>
      </c>
      <c r="N16" s="2" t="inlineStr"/>
    </row>
    <row r="17">
      <c r="A17" s="2" t="inlineStr">
        <is>
          <t>0Bracos_2700_R0010_80W_2026-10-09_12_20.csv</t>
        </is>
      </c>
      <c r="B17" s="2" t="inlineStr">
        <is>
          <t>80W_2700RPM_R0010</t>
        </is>
      </c>
      <c r="C17" s="2" t="n">
        <v>80</v>
      </c>
      <c r="D17" s="2" t="n">
        <v>2700</v>
      </c>
      <c r="E17" s="3">
        <f>D17*2/60</f>
        <v/>
      </c>
      <c r="F17" s="2" t="inlineStr">
        <is>
          <t>0010</t>
        </is>
      </c>
      <c r="G17" s="2" t="n">
        <v>0</v>
      </c>
      <c r="H17" s="2">
        <f>INDEX(Parametros!$B$2:$B$9,MATCH(G17,Parametros!$A$2:$A$9,0))</f>
        <v/>
      </c>
      <c r="I17" s="4">
        <f>1/(VALUE(MID(F17,1,1))/Parametros!$E$2+VALUE(MID(F17,2,1))/Parametros!$E$3+VALUE(MID(F17,3,1))/Parametros!$E$4+VALUE(MID(F17,4,1))/Parametros!$E$5)</f>
        <v/>
      </c>
      <c r="J17" s="5">
        <f>IF(G17=0,Parametros!$E$8,Parametros!$E$6+Parametros!$E$6*(Parametros!$E$7/G17+I17)/(Parametros!$E$6+Parametros!$E$7/G17+I17))</f>
        <v/>
      </c>
      <c r="K17" s="2" t="inlineStr">
        <is>
          <t>2026-10-09 12:20</t>
        </is>
      </c>
      <c r="L17" s="6" t="inlineStr">
        <is>
          <t>Válido</t>
        </is>
      </c>
      <c r="M17" s="2">
        <f>IF(L17="Válido","Sim","Não")</f>
        <v/>
      </c>
      <c r="N17" s="2" t="inlineStr"/>
    </row>
    <row r="18">
      <c r="A18" s="2" t="inlineStr">
        <is>
          <t>7Bracos_2700_R0011_80W_2026-10-09_12_20.csv</t>
        </is>
      </c>
      <c r="B18" s="2" t="inlineStr">
        <is>
          <t>80W_2700RPM_R0011</t>
        </is>
      </c>
      <c r="C18" s="2" t="n">
        <v>80</v>
      </c>
      <c r="D18" s="2" t="n">
        <v>2700</v>
      </c>
      <c r="E18" s="3">
        <f>D18*2/60</f>
        <v/>
      </c>
      <c r="F18" s="2" t="inlineStr">
        <is>
          <t>0011</t>
        </is>
      </c>
      <c r="G18" s="2" t="n">
        <v>7</v>
      </c>
      <c r="H18" s="2">
        <f>INDEX(Parametros!$B$2:$B$9,MATCH(G18,Parametros!$A$2:$A$9,0))</f>
        <v/>
      </c>
      <c r="I18" s="4">
        <f>1/(VALUE(MID(F18,1,1))/Parametros!$E$2+VALUE(MID(F18,2,1))/Parametros!$E$3+VALUE(MID(F18,3,1))/Parametros!$E$4+VALUE(MID(F18,4,1))/Parametros!$E$5)</f>
        <v/>
      </c>
      <c r="J18" s="5">
        <f>IF(G18=0,Parametros!$E$8,Parametros!$E$6+Parametros!$E$6*(Parametros!$E$7/G18+I18)/(Parametros!$E$6+Parametros!$E$7/G18+I18))</f>
        <v/>
      </c>
      <c r="K18" s="2" t="inlineStr">
        <is>
          <t>2026-10-09 12:20</t>
        </is>
      </c>
      <c r="L18" s="6" t="inlineStr">
        <is>
          <t>Válido</t>
        </is>
      </c>
      <c r="M18" s="2">
        <f>IF(L18="Válido","Sim","Não")</f>
        <v/>
      </c>
      <c r="N18" s="2" t="inlineStr"/>
    </row>
    <row r="19">
      <c r="A19" s="2" t="inlineStr">
        <is>
          <t>6Bracos_2700_R0011_80W_2026-10-09_12_20.csv</t>
        </is>
      </c>
      <c r="B19" s="2" t="inlineStr">
        <is>
          <t>80W_2700RPM_R0011</t>
        </is>
      </c>
      <c r="C19" s="2" t="n">
        <v>80</v>
      </c>
      <c r="D19" s="2" t="n">
        <v>2700</v>
      </c>
      <c r="E19" s="3">
        <f>D19*2/60</f>
        <v/>
      </c>
      <c r="F19" s="2" t="inlineStr">
        <is>
          <t>0011</t>
        </is>
      </c>
      <c r="G19" s="2" t="n">
        <v>6</v>
      </c>
      <c r="H19" s="2">
        <f>INDEX(Parametros!$B$2:$B$9,MATCH(G19,Parametros!$A$2:$A$9,0))</f>
        <v/>
      </c>
      <c r="I19" s="4">
        <f>1/(VALUE(MID(F19,1,1))/Parametros!$E$2+VALUE(MID(F19,2,1))/Parametros!$E$3+VALUE(MID(F19,3,1))/Parametros!$E$4+VALUE(MID(F19,4,1))/Parametros!$E$5)</f>
        <v/>
      </c>
      <c r="J19" s="5">
        <f>IF(G19=0,Parametros!$E$8,Parametros!$E$6+Parametros!$E$6*(Parametros!$E$7/G19+I19)/(Parametros!$E$6+Parametros!$E$7/G19+I19))</f>
        <v/>
      </c>
      <c r="K19" s="2" t="inlineStr">
        <is>
          <t>2026-10-09 12:20</t>
        </is>
      </c>
      <c r="L19" s="6" t="inlineStr">
        <is>
          <t>Válido</t>
        </is>
      </c>
      <c r="M19" s="2">
        <f>IF(L19="Válido","Sim","Não")</f>
        <v/>
      </c>
      <c r="N19" s="2" t="inlineStr"/>
    </row>
    <row r="20">
      <c r="A20" s="2" t="inlineStr">
        <is>
          <t>5Bracos_2700_R0011_80W_2026-10-09_12_20.csv</t>
        </is>
      </c>
      <c r="B20" s="2" t="inlineStr">
        <is>
          <t>80W_2700RPM_R0011</t>
        </is>
      </c>
      <c r="C20" s="2" t="n">
        <v>80</v>
      </c>
      <c r="D20" s="2" t="n">
        <v>2700</v>
      </c>
      <c r="E20" s="3">
        <f>D20*2/60</f>
        <v/>
      </c>
      <c r="F20" s="2" t="inlineStr">
        <is>
          <t>0011</t>
        </is>
      </c>
      <c r="G20" s="2" t="n">
        <v>5</v>
      </c>
      <c r="H20" s="2">
        <f>INDEX(Parametros!$B$2:$B$9,MATCH(G20,Parametros!$A$2:$A$9,0))</f>
        <v/>
      </c>
      <c r="I20" s="4">
        <f>1/(VALUE(MID(F20,1,1))/Parametros!$E$2+VALUE(MID(F20,2,1))/Parametros!$E$3+VALUE(MID(F20,3,1))/Parametros!$E$4+VALUE(MID(F20,4,1))/Parametros!$E$5)</f>
        <v/>
      </c>
      <c r="J20" s="5">
        <f>IF(G20=0,Parametros!$E$8,Parametros!$E$6+Parametros!$E$6*(Parametros!$E$7/G20+I20)/(Parametros!$E$6+Parametros!$E$7/G20+I20))</f>
        <v/>
      </c>
      <c r="K20" s="2" t="inlineStr">
        <is>
          <t>2026-10-09 12:20</t>
        </is>
      </c>
      <c r="L20" s="6" t="inlineStr">
        <is>
          <t>Válido</t>
        </is>
      </c>
      <c r="M20" s="2">
        <f>IF(L20="Válido","Sim","Não")</f>
        <v/>
      </c>
      <c r="N20" s="2" t="inlineStr"/>
    </row>
    <row r="21">
      <c r="A21" s="2" t="inlineStr">
        <is>
          <t>4Bracos_2700_R0011_80W_2026-10-09_12_20.csv</t>
        </is>
      </c>
      <c r="B21" s="2" t="inlineStr">
        <is>
          <t>80W_2700RPM_R0011</t>
        </is>
      </c>
      <c r="C21" s="2" t="n">
        <v>80</v>
      </c>
      <c r="D21" s="2" t="n">
        <v>2700</v>
      </c>
      <c r="E21" s="3">
        <f>D21*2/60</f>
        <v/>
      </c>
      <c r="F21" s="2" t="inlineStr">
        <is>
          <t>0011</t>
        </is>
      </c>
      <c r="G21" s="2" t="n">
        <v>4</v>
      </c>
      <c r="H21" s="2">
        <f>INDEX(Parametros!$B$2:$B$9,MATCH(G21,Parametros!$A$2:$A$9,0))</f>
        <v/>
      </c>
      <c r="I21" s="4">
        <f>1/(VALUE(MID(F21,1,1))/Parametros!$E$2+VALUE(MID(F21,2,1))/Parametros!$E$3+VALUE(MID(F21,3,1))/Parametros!$E$4+VALUE(MID(F21,4,1))/Parametros!$E$5)</f>
        <v/>
      </c>
      <c r="J21" s="5">
        <f>IF(G21=0,Parametros!$E$8,Parametros!$E$6+Parametros!$E$6*(Parametros!$E$7/G21+I21)/(Parametros!$E$6+Parametros!$E$7/G21+I21))</f>
        <v/>
      </c>
      <c r="K21" s="2" t="inlineStr">
        <is>
          <t>2026-10-09 12:20</t>
        </is>
      </c>
      <c r="L21" s="6" t="inlineStr">
        <is>
          <t>Válido</t>
        </is>
      </c>
      <c r="M21" s="2">
        <f>IF(L21="Válido","Sim","Não")</f>
        <v/>
      </c>
      <c r="N21" s="2" t="inlineStr"/>
    </row>
    <row r="22">
      <c r="A22" s="2" t="inlineStr">
        <is>
          <t>3Bracos_2700_R0011_80W_2026-10-09_12_20.csv</t>
        </is>
      </c>
      <c r="B22" s="2" t="inlineStr">
        <is>
          <t>80W_2700RPM_R0011</t>
        </is>
      </c>
      <c r="C22" s="2" t="n">
        <v>80</v>
      </c>
      <c r="D22" s="2" t="n">
        <v>2700</v>
      </c>
      <c r="E22" s="3">
        <f>D22*2/60</f>
        <v/>
      </c>
      <c r="F22" s="2" t="inlineStr">
        <is>
          <t>0011</t>
        </is>
      </c>
      <c r="G22" s="2" t="n">
        <v>3</v>
      </c>
      <c r="H22" s="2">
        <f>INDEX(Parametros!$B$2:$B$9,MATCH(G22,Parametros!$A$2:$A$9,0))</f>
        <v/>
      </c>
      <c r="I22" s="4">
        <f>1/(VALUE(MID(F22,1,1))/Parametros!$E$2+VALUE(MID(F22,2,1))/Parametros!$E$3+VALUE(MID(F22,3,1))/Parametros!$E$4+VALUE(MID(F22,4,1))/Parametros!$E$5)</f>
        <v/>
      </c>
      <c r="J22" s="5">
        <f>IF(G22=0,Parametros!$E$8,Parametros!$E$6+Parametros!$E$6*(Parametros!$E$7/G22+I22)/(Parametros!$E$6+Parametros!$E$7/G22+I22))</f>
        <v/>
      </c>
      <c r="K22" s="2" t="inlineStr">
        <is>
          <t>2026-10-09 12:20</t>
        </is>
      </c>
      <c r="L22" s="6" t="inlineStr">
        <is>
          <t>Válido</t>
        </is>
      </c>
      <c r="M22" s="2">
        <f>IF(L22="Válido","Sim","Não")</f>
        <v/>
      </c>
      <c r="N22" s="2" t="inlineStr"/>
    </row>
    <row r="23">
      <c r="A23" s="2" t="inlineStr">
        <is>
          <t>2Bracos_2700_R0011_80W_2026-10-09_12_20.csv</t>
        </is>
      </c>
      <c r="B23" s="2" t="inlineStr">
        <is>
          <t>80W_2700RPM_R0011</t>
        </is>
      </c>
      <c r="C23" s="2" t="n">
        <v>80</v>
      </c>
      <c r="D23" s="2" t="n">
        <v>2700</v>
      </c>
      <c r="E23" s="3">
        <f>D23*2/60</f>
        <v/>
      </c>
      <c r="F23" s="2" t="inlineStr">
        <is>
          <t>0011</t>
        </is>
      </c>
      <c r="G23" s="2" t="n">
        <v>2</v>
      </c>
      <c r="H23" s="2">
        <f>INDEX(Parametros!$B$2:$B$9,MATCH(G23,Parametros!$A$2:$A$9,0))</f>
        <v/>
      </c>
      <c r="I23" s="4">
        <f>1/(VALUE(MID(F23,1,1))/Parametros!$E$2+VALUE(MID(F23,2,1))/Parametros!$E$3+VALUE(MID(F23,3,1))/Parametros!$E$4+VALUE(MID(F23,4,1))/Parametros!$E$5)</f>
        <v/>
      </c>
      <c r="J23" s="5">
        <f>IF(G23=0,Parametros!$E$8,Parametros!$E$6+Parametros!$E$6*(Parametros!$E$7/G23+I23)/(Parametros!$E$6+Parametros!$E$7/G23+I23))</f>
        <v/>
      </c>
      <c r="K23" s="2" t="inlineStr">
        <is>
          <t>2026-10-09 12:20</t>
        </is>
      </c>
      <c r="L23" s="6" t="inlineStr">
        <is>
          <t>Válido</t>
        </is>
      </c>
      <c r="M23" s="2">
        <f>IF(L23="Válido","Sim","Não")</f>
        <v/>
      </c>
      <c r="N23" s="2" t="inlineStr"/>
    </row>
    <row r="24">
      <c r="A24" s="2" t="inlineStr">
        <is>
          <t>1Bracos_2700_R0011_80W_2026-10-09_12_20.csv</t>
        </is>
      </c>
      <c r="B24" s="2" t="inlineStr">
        <is>
          <t>80W_2700RPM_R0011</t>
        </is>
      </c>
      <c r="C24" s="2" t="n">
        <v>80</v>
      </c>
      <c r="D24" s="2" t="n">
        <v>2700</v>
      </c>
      <c r="E24" s="3">
        <f>D24*2/60</f>
        <v/>
      </c>
      <c r="F24" s="2" t="inlineStr">
        <is>
          <t>0011</t>
        </is>
      </c>
      <c r="G24" s="2" t="n">
        <v>1</v>
      </c>
      <c r="H24" s="2">
        <f>INDEX(Parametros!$B$2:$B$9,MATCH(G24,Parametros!$A$2:$A$9,0))</f>
        <v/>
      </c>
      <c r="I24" s="4">
        <f>1/(VALUE(MID(F24,1,1))/Parametros!$E$2+VALUE(MID(F24,2,1))/Parametros!$E$3+VALUE(MID(F24,3,1))/Parametros!$E$4+VALUE(MID(F24,4,1))/Parametros!$E$5)</f>
        <v/>
      </c>
      <c r="J24" s="5">
        <f>IF(G24=0,Parametros!$E$8,Parametros!$E$6+Parametros!$E$6*(Parametros!$E$7/G24+I24)/(Parametros!$E$6+Parametros!$E$7/G24+I24))</f>
        <v/>
      </c>
      <c r="K24" s="2" t="inlineStr">
        <is>
          <t>2026-10-09 12:20</t>
        </is>
      </c>
      <c r="L24" s="6" t="inlineStr">
        <is>
          <t>Válido</t>
        </is>
      </c>
      <c r="M24" s="2">
        <f>IF(L24="Válido","Sim","Não")</f>
        <v/>
      </c>
      <c r="N24" s="2" t="inlineStr"/>
    </row>
    <row r="25">
      <c r="A25" s="2" t="inlineStr">
        <is>
          <t>0Bracos_2700_R0011_80W_2026-10-09_12_20.csv</t>
        </is>
      </c>
      <c r="B25" s="2" t="inlineStr">
        <is>
          <t>80W_2700RPM_R0011</t>
        </is>
      </c>
      <c r="C25" s="2" t="n">
        <v>80</v>
      </c>
      <c r="D25" s="2" t="n">
        <v>2700</v>
      </c>
      <c r="E25" s="3">
        <f>D25*2/60</f>
        <v/>
      </c>
      <c r="F25" s="2" t="inlineStr">
        <is>
          <t>0011</t>
        </is>
      </c>
      <c r="G25" s="2" t="n">
        <v>0</v>
      </c>
      <c r="H25" s="2">
        <f>INDEX(Parametros!$B$2:$B$9,MATCH(G25,Parametros!$A$2:$A$9,0))</f>
        <v/>
      </c>
      <c r="I25" s="4">
        <f>1/(VALUE(MID(F25,1,1))/Parametros!$E$2+VALUE(MID(F25,2,1))/Parametros!$E$3+VALUE(MID(F25,3,1))/Parametros!$E$4+VALUE(MID(F25,4,1))/Parametros!$E$5)</f>
        <v/>
      </c>
      <c r="J25" s="5">
        <f>IF(G25=0,Parametros!$E$8,Parametros!$E$6+Parametros!$E$6*(Parametros!$E$7/G25+I25)/(Parametros!$E$6+Parametros!$E$7/G25+I25))</f>
        <v/>
      </c>
      <c r="K25" s="2" t="inlineStr">
        <is>
          <t>2026-10-09 12:20</t>
        </is>
      </c>
      <c r="L25" s="6" t="inlineStr">
        <is>
          <t>Válido</t>
        </is>
      </c>
      <c r="M25" s="2">
        <f>IF(L25="Válido","Sim","Não")</f>
        <v/>
      </c>
      <c r="N25" s="2" t="inlineStr"/>
    </row>
    <row r="26">
      <c r="A26" s="2" t="inlineStr">
        <is>
          <t>7Bracos_2700_R0100_80W_2026-10-09_12_20.csv</t>
        </is>
      </c>
      <c r="B26" s="2" t="inlineStr">
        <is>
          <t>80W_2700RPM_R0100</t>
        </is>
      </c>
      <c r="C26" s="2" t="n">
        <v>80</v>
      </c>
      <c r="D26" s="2" t="n">
        <v>2700</v>
      </c>
      <c r="E26" s="3">
        <f>D26*2/60</f>
        <v/>
      </c>
      <c r="F26" s="2" t="inlineStr">
        <is>
          <t>0100</t>
        </is>
      </c>
      <c r="G26" s="2" t="n">
        <v>7</v>
      </c>
      <c r="H26" s="2">
        <f>INDEX(Parametros!$B$2:$B$9,MATCH(G26,Parametros!$A$2:$A$9,0))</f>
        <v/>
      </c>
      <c r="I26" s="4">
        <f>1/(VALUE(MID(F26,1,1))/Parametros!$E$2+VALUE(MID(F26,2,1))/Parametros!$E$3+VALUE(MID(F26,3,1))/Parametros!$E$4+VALUE(MID(F26,4,1))/Parametros!$E$5)</f>
        <v/>
      </c>
      <c r="J26" s="5">
        <f>IF(G26=0,Parametros!$E$8,Parametros!$E$6+Parametros!$E$6*(Parametros!$E$7/G26+I26)/(Parametros!$E$6+Parametros!$E$7/G26+I26))</f>
        <v/>
      </c>
      <c r="K26" s="2" t="inlineStr">
        <is>
          <t>2026-10-09 12:20</t>
        </is>
      </c>
      <c r="L26" s="6" t="inlineStr">
        <is>
          <t>Válido</t>
        </is>
      </c>
      <c r="M26" s="2">
        <f>IF(L26="Válido","Sim","Não")</f>
        <v/>
      </c>
      <c r="N26" s="2" t="inlineStr"/>
    </row>
    <row r="27">
      <c r="A27" s="2" t="inlineStr">
        <is>
          <t>6Bracos_2700_R0100_80W_2026-10-09_12_20.csv</t>
        </is>
      </c>
      <c r="B27" s="2" t="inlineStr">
        <is>
          <t>80W_2700RPM_R0100</t>
        </is>
      </c>
      <c r="C27" s="2" t="n">
        <v>80</v>
      </c>
      <c r="D27" s="2" t="n">
        <v>2700</v>
      </c>
      <c r="E27" s="3">
        <f>D27*2/60</f>
        <v/>
      </c>
      <c r="F27" s="2" t="inlineStr">
        <is>
          <t>0100</t>
        </is>
      </c>
      <c r="G27" s="2" t="n">
        <v>6</v>
      </c>
      <c r="H27" s="2">
        <f>INDEX(Parametros!$B$2:$B$9,MATCH(G27,Parametros!$A$2:$A$9,0))</f>
        <v/>
      </c>
      <c r="I27" s="4">
        <f>1/(VALUE(MID(F27,1,1))/Parametros!$E$2+VALUE(MID(F27,2,1))/Parametros!$E$3+VALUE(MID(F27,3,1))/Parametros!$E$4+VALUE(MID(F27,4,1))/Parametros!$E$5)</f>
        <v/>
      </c>
      <c r="J27" s="5">
        <f>IF(G27=0,Parametros!$E$8,Parametros!$E$6+Parametros!$E$6*(Parametros!$E$7/G27+I27)/(Parametros!$E$6+Parametros!$E$7/G27+I27))</f>
        <v/>
      </c>
      <c r="K27" s="2" t="inlineStr">
        <is>
          <t>2026-10-09 12:20</t>
        </is>
      </c>
      <c r="L27" s="6" t="inlineStr">
        <is>
          <t>Válido</t>
        </is>
      </c>
      <c r="M27" s="2">
        <f>IF(L27="Válido","Sim","Não")</f>
        <v/>
      </c>
      <c r="N27" s="2" t="inlineStr"/>
    </row>
    <row r="28">
      <c r="A28" s="2" t="inlineStr">
        <is>
          <t>5Bracos_2700_R0100_80W_2026-10-09_12_20.csv</t>
        </is>
      </c>
      <c r="B28" s="2" t="inlineStr">
        <is>
          <t>80W_2700RPM_R0100</t>
        </is>
      </c>
      <c r="C28" s="2" t="n">
        <v>80</v>
      </c>
      <c r="D28" s="2" t="n">
        <v>2700</v>
      </c>
      <c r="E28" s="3">
        <f>D28*2/60</f>
        <v/>
      </c>
      <c r="F28" s="2" t="inlineStr">
        <is>
          <t>0100</t>
        </is>
      </c>
      <c r="G28" s="2" t="n">
        <v>5</v>
      </c>
      <c r="H28" s="2">
        <f>INDEX(Parametros!$B$2:$B$9,MATCH(G28,Parametros!$A$2:$A$9,0))</f>
        <v/>
      </c>
      <c r="I28" s="4">
        <f>1/(VALUE(MID(F28,1,1))/Parametros!$E$2+VALUE(MID(F28,2,1))/Parametros!$E$3+VALUE(MID(F28,3,1))/Parametros!$E$4+VALUE(MID(F28,4,1))/Parametros!$E$5)</f>
        <v/>
      </c>
      <c r="J28" s="5">
        <f>IF(G28=0,Parametros!$E$8,Parametros!$E$6+Parametros!$E$6*(Parametros!$E$7/G28+I28)/(Parametros!$E$6+Parametros!$E$7/G28+I28))</f>
        <v/>
      </c>
      <c r="K28" s="2" t="inlineStr">
        <is>
          <t>2026-10-09 12:20</t>
        </is>
      </c>
      <c r="L28" s="6" t="inlineStr">
        <is>
          <t>Válido</t>
        </is>
      </c>
      <c r="M28" s="2">
        <f>IF(L28="Válido","Sim","Não")</f>
        <v/>
      </c>
      <c r="N28" s="2" t="inlineStr"/>
    </row>
    <row r="29">
      <c r="A29" s="2" t="inlineStr">
        <is>
          <t>4Bracos_2700_R0100_80W_2026-10-09_12_20.csv</t>
        </is>
      </c>
      <c r="B29" s="2" t="inlineStr">
        <is>
          <t>80W_2700RPM_R0100</t>
        </is>
      </c>
      <c r="C29" s="2" t="n">
        <v>80</v>
      </c>
      <c r="D29" s="2" t="n">
        <v>2700</v>
      </c>
      <c r="E29" s="3">
        <f>D29*2/60</f>
        <v/>
      </c>
      <c r="F29" s="2" t="inlineStr">
        <is>
          <t>0100</t>
        </is>
      </c>
      <c r="G29" s="2" t="n">
        <v>4</v>
      </c>
      <c r="H29" s="2">
        <f>INDEX(Parametros!$B$2:$B$9,MATCH(G29,Parametros!$A$2:$A$9,0))</f>
        <v/>
      </c>
      <c r="I29" s="4">
        <f>1/(VALUE(MID(F29,1,1))/Parametros!$E$2+VALUE(MID(F29,2,1))/Parametros!$E$3+VALUE(MID(F29,3,1))/Parametros!$E$4+VALUE(MID(F29,4,1))/Parametros!$E$5)</f>
        <v/>
      </c>
      <c r="J29" s="5">
        <f>IF(G29=0,Parametros!$E$8,Parametros!$E$6+Parametros!$E$6*(Parametros!$E$7/G29+I29)/(Parametros!$E$6+Parametros!$E$7/G29+I29))</f>
        <v/>
      </c>
      <c r="K29" s="2" t="inlineStr">
        <is>
          <t>2026-10-09 12:20</t>
        </is>
      </c>
      <c r="L29" s="6" t="inlineStr">
        <is>
          <t>Válido</t>
        </is>
      </c>
      <c r="M29" s="2">
        <f>IF(L29="Válido","Sim","Não")</f>
        <v/>
      </c>
      <c r="N29" s="2" t="inlineStr"/>
    </row>
    <row r="30">
      <c r="A30" s="2" t="inlineStr">
        <is>
          <t>3Bracos_2700_R0100_80W_2026-10-09_12_20.csv</t>
        </is>
      </c>
      <c r="B30" s="2" t="inlineStr">
        <is>
          <t>80W_2700RPM_R0100</t>
        </is>
      </c>
      <c r="C30" s="2" t="n">
        <v>80</v>
      </c>
      <c r="D30" s="2" t="n">
        <v>2700</v>
      </c>
      <c r="E30" s="3">
        <f>D30*2/60</f>
        <v/>
      </c>
      <c r="F30" s="2" t="inlineStr">
        <is>
          <t>0100</t>
        </is>
      </c>
      <c r="G30" s="2" t="n">
        <v>3</v>
      </c>
      <c r="H30" s="2">
        <f>INDEX(Parametros!$B$2:$B$9,MATCH(G30,Parametros!$A$2:$A$9,0))</f>
        <v/>
      </c>
      <c r="I30" s="4">
        <f>1/(VALUE(MID(F30,1,1))/Parametros!$E$2+VALUE(MID(F30,2,1))/Parametros!$E$3+VALUE(MID(F30,3,1))/Parametros!$E$4+VALUE(MID(F30,4,1))/Parametros!$E$5)</f>
        <v/>
      </c>
      <c r="J30" s="5">
        <f>IF(G30=0,Parametros!$E$8,Parametros!$E$6+Parametros!$E$6*(Parametros!$E$7/G30+I30)/(Parametros!$E$6+Parametros!$E$7/G30+I30))</f>
        <v/>
      </c>
      <c r="K30" s="2" t="inlineStr">
        <is>
          <t>2026-10-09 12:20</t>
        </is>
      </c>
      <c r="L30" s="6" t="inlineStr">
        <is>
          <t>Válido</t>
        </is>
      </c>
      <c r="M30" s="2">
        <f>IF(L30="Válido","Sim","Não")</f>
        <v/>
      </c>
      <c r="N30" s="2" t="inlineStr"/>
    </row>
    <row r="31">
      <c r="A31" s="2" t="inlineStr">
        <is>
          <t>2Bracos_2700_R0100_80W_2026-10-09_12_20.csv</t>
        </is>
      </c>
      <c r="B31" s="2" t="inlineStr">
        <is>
          <t>80W_2700RPM_R0100</t>
        </is>
      </c>
      <c r="C31" s="2" t="n">
        <v>80</v>
      </c>
      <c r="D31" s="2" t="n">
        <v>2700</v>
      </c>
      <c r="E31" s="3">
        <f>D31*2/60</f>
        <v/>
      </c>
      <c r="F31" s="2" t="inlineStr">
        <is>
          <t>0100</t>
        </is>
      </c>
      <c r="G31" s="2" t="n">
        <v>2</v>
      </c>
      <c r="H31" s="2">
        <f>INDEX(Parametros!$B$2:$B$9,MATCH(G31,Parametros!$A$2:$A$9,0))</f>
        <v/>
      </c>
      <c r="I31" s="4">
        <f>1/(VALUE(MID(F31,1,1))/Parametros!$E$2+VALUE(MID(F31,2,1))/Parametros!$E$3+VALUE(MID(F31,3,1))/Parametros!$E$4+VALUE(MID(F31,4,1))/Parametros!$E$5)</f>
        <v/>
      </c>
      <c r="J31" s="5">
        <f>IF(G31=0,Parametros!$E$8,Parametros!$E$6+Parametros!$E$6*(Parametros!$E$7/G31+I31)/(Parametros!$E$6+Parametros!$E$7/G31+I31))</f>
        <v/>
      </c>
      <c r="K31" s="2" t="inlineStr">
        <is>
          <t>2026-10-09 12:20</t>
        </is>
      </c>
      <c r="L31" s="6" t="inlineStr">
        <is>
          <t>Válido</t>
        </is>
      </c>
      <c r="M31" s="2">
        <f>IF(L31="Válido","Sim","Não")</f>
        <v/>
      </c>
      <c r="N31" s="2" t="inlineStr"/>
    </row>
    <row r="32">
      <c r="A32" s="2" t="inlineStr">
        <is>
          <t>1Bracos_2700_R0100_80W_2026-10-09_12_20.csv</t>
        </is>
      </c>
      <c r="B32" s="2" t="inlineStr">
        <is>
          <t>80W_2700RPM_R0100</t>
        </is>
      </c>
      <c r="C32" s="2" t="n">
        <v>80</v>
      </c>
      <c r="D32" s="2" t="n">
        <v>2700</v>
      </c>
      <c r="E32" s="3">
        <f>D32*2/60</f>
        <v/>
      </c>
      <c r="F32" s="2" t="inlineStr">
        <is>
          <t>0100</t>
        </is>
      </c>
      <c r="G32" s="2" t="n">
        <v>1</v>
      </c>
      <c r="H32" s="2">
        <f>INDEX(Parametros!$B$2:$B$9,MATCH(G32,Parametros!$A$2:$A$9,0))</f>
        <v/>
      </c>
      <c r="I32" s="4">
        <f>1/(VALUE(MID(F32,1,1))/Parametros!$E$2+VALUE(MID(F32,2,1))/Parametros!$E$3+VALUE(MID(F32,3,1))/Parametros!$E$4+VALUE(MID(F32,4,1))/Parametros!$E$5)</f>
        <v/>
      </c>
      <c r="J32" s="5">
        <f>IF(G32=0,Parametros!$E$8,Parametros!$E$6+Parametros!$E$6*(Parametros!$E$7/G32+I32)/(Parametros!$E$6+Parametros!$E$7/G32+I32))</f>
        <v/>
      </c>
      <c r="K32" s="2" t="inlineStr">
        <is>
          <t>2026-10-09 12:20</t>
        </is>
      </c>
      <c r="L32" s="6" t="inlineStr">
        <is>
          <t>Válido</t>
        </is>
      </c>
      <c r="M32" s="2">
        <f>IF(L32="Válido","Sim","Não")</f>
        <v/>
      </c>
      <c r="N32" s="2" t="inlineStr"/>
    </row>
    <row r="33">
      <c r="A33" s="2" t="inlineStr">
        <is>
          <t>0Bracos_2700_R0100_80W_2026-10-09_12_20.csv</t>
        </is>
      </c>
      <c r="B33" s="2" t="inlineStr">
        <is>
          <t>80W_2700RPM_R0100</t>
        </is>
      </c>
      <c r="C33" s="2" t="n">
        <v>80</v>
      </c>
      <c r="D33" s="2" t="n">
        <v>2700</v>
      </c>
      <c r="E33" s="3">
        <f>D33*2/60</f>
        <v/>
      </c>
      <c r="F33" s="2" t="inlineStr">
        <is>
          <t>0100</t>
        </is>
      </c>
      <c r="G33" s="2" t="n">
        <v>0</v>
      </c>
      <c r="H33" s="2">
        <f>INDEX(Parametros!$B$2:$B$9,MATCH(G33,Parametros!$A$2:$A$9,0))</f>
        <v/>
      </c>
      <c r="I33" s="4">
        <f>1/(VALUE(MID(F33,1,1))/Parametros!$E$2+VALUE(MID(F33,2,1))/Parametros!$E$3+VALUE(MID(F33,3,1))/Parametros!$E$4+VALUE(MID(F33,4,1))/Parametros!$E$5)</f>
        <v/>
      </c>
      <c r="J33" s="5">
        <f>IF(G33=0,Parametros!$E$8,Parametros!$E$6+Parametros!$E$6*(Parametros!$E$7/G33+I33)/(Parametros!$E$6+Parametros!$E$7/G33+I33))</f>
        <v/>
      </c>
      <c r="K33" s="2" t="inlineStr">
        <is>
          <t>2026-10-09 12:20</t>
        </is>
      </c>
      <c r="L33" s="6" t="inlineStr">
        <is>
          <t>Válido</t>
        </is>
      </c>
      <c r="M33" s="2">
        <f>IF(L33="Válido","Sim","Não")</f>
        <v/>
      </c>
      <c r="N33" s="2" t="inlineStr"/>
    </row>
    <row r="34">
      <c r="A34" s="2" t="inlineStr">
        <is>
          <t>7Bracos_2700_R0101_80W_2026-10-09_12_20.csv</t>
        </is>
      </c>
      <c r="B34" s="2" t="inlineStr">
        <is>
          <t>80W_2700RPM_R0101</t>
        </is>
      </c>
      <c r="C34" s="2" t="n">
        <v>80</v>
      </c>
      <c r="D34" s="2" t="n">
        <v>2700</v>
      </c>
      <c r="E34" s="3">
        <f>D34*2/60</f>
        <v/>
      </c>
      <c r="F34" s="2" t="inlineStr">
        <is>
          <t>0101</t>
        </is>
      </c>
      <c r="G34" s="2" t="n">
        <v>7</v>
      </c>
      <c r="H34" s="2">
        <f>INDEX(Parametros!$B$2:$B$9,MATCH(G34,Parametros!$A$2:$A$9,0))</f>
        <v/>
      </c>
      <c r="I34" s="4">
        <f>1/(VALUE(MID(F34,1,1))/Parametros!$E$2+VALUE(MID(F34,2,1))/Parametros!$E$3+VALUE(MID(F34,3,1))/Parametros!$E$4+VALUE(MID(F34,4,1))/Parametros!$E$5)</f>
        <v/>
      </c>
      <c r="J34" s="5">
        <f>IF(G34=0,Parametros!$E$8,Parametros!$E$6+Parametros!$E$6*(Parametros!$E$7/G34+I34)/(Parametros!$E$6+Parametros!$E$7/G34+I34))</f>
        <v/>
      </c>
      <c r="K34" s="2" t="inlineStr">
        <is>
          <t>2026-10-09 12:20</t>
        </is>
      </c>
      <c r="L34" s="6" t="inlineStr">
        <is>
          <t>Válido</t>
        </is>
      </c>
      <c r="M34" s="2">
        <f>IF(L34="Válido","Sim","Não")</f>
        <v/>
      </c>
      <c r="N34" s="2" t="inlineStr"/>
    </row>
    <row r="35">
      <c r="A35" s="2" t="inlineStr">
        <is>
          <t>6Bracos_2700_R0101_80W_2026-10-09_12_20.csv</t>
        </is>
      </c>
      <c r="B35" s="2" t="inlineStr">
        <is>
          <t>80W_2700RPM_R0101</t>
        </is>
      </c>
      <c r="C35" s="2" t="n">
        <v>80</v>
      </c>
      <c r="D35" s="2" t="n">
        <v>2700</v>
      </c>
      <c r="E35" s="3">
        <f>D35*2/60</f>
        <v/>
      </c>
      <c r="F35" s="2" t="inlineStr">
        <is>
          <t>0101</t>
        </is>
      </c>
      <c r="G35" s="2" t="n">
        <v>6</v>
      </c>
      <c r="H35" s="2">
        <f>INDEX(Parametros!$B$2:$B$9,MATCH(G35,Parametros!$A$2:$A$9,0))</f>
        <v/>
      </c>
      <c r="I35" s="4">
        <f>1/(VALUE(MID(F35,1,1))/Parametros!$E$2+VALUE(MID(F35,2,1))/Parametros!$E$3+VALUE(MID(F35,3,1))/Parametros!$E$4+VALUE(MID(F35,4,1))/Parametros!$E$5)</f>
        <v/>
      </c>
      <c r="J35" s="5">
        <f>IF(G35=0,Parametros!$E$8,Parametros!$E$6+Parametros!$E$6*(Parametros!$E$7/G35+I35)/(Parametros!$E$6+Parametros!$E$7/G35+I35))</f>
        <v/>
      </c>
      <c r="K35" s="2" t="inlineStr">
        <is>
          <t>2026-10-09 12:20</t>
        </is>
      </c>
      <c r="L35" s="6" t="inlineStr">
        <is>
          <t>Válido</t>
        </is>
      </c>
      <c r="M35" s="2">
        <f>IF(L35="Válido","Sim","Não")</f>
        <v/>
      </c>
      <c r="N35" s="2" t="inlineStr"/>
    </row>
    <row r="36">
      <c r="A36" s="2" t="inlineStr">
        <is>
          <t>5Bracos_2700_R0101_80W_2026-10-09_12_20.csv</t>
        </is>
      </c>
      <c r="B36" s="2" t="inlineStr">
        <is>
          <t>80W_2700RPM_R0101</t>
        </is>
      </c>
      <c r="C36" s="2" t="n">
        <v>80</v>
      </c>
      <c r="D36" s="2" t="n">
        <v>2700</v>
      </c>
      <c r="E36" s="3">
        <f>D36*2/60</f>
        <v/>
      </c>
      <c r="F36" s="2" t="inlineStr">
        <is>
          <t>0101</t>
        </is>
      </c>
      <c r="G36" s="2" t="n">
        <v>5</v>
      </c>
      <c r="H36" s="2">
        <f>INDEX(Parametros!$B$2:$B$9,MATCH(G36,Parametros!$A$2:$A$9,0))</f>
        <v/>
      </c>
      <c r="I36" s="4">
        <f>1/(VALUE(MID(F36,1,1))/Parametros!$E$2+VALUE(MID(F36,2,1))/Parametros!$E$3+VALUE(MID(F36,3,1))/Parametros!$E$4+VALUE(MID(F36,4,1))/Parametros!$E$5)</f>
        <v/>
      </c>
      <c r="J36" s="5">
        <f>IF(G36=0,Parametros!$E$8,Parametros!$E$6+Parametros!$E$6*(Parametros!$E$7/G36+I36)/(Parametros!$E$6+Parametros!$E$7/G36+I36))</f>
        <v/>
      </c>
      <c r="K36" s="2" t="inlineStr">
        <is>
          <t>2026-10-09 12:20</t>
        </is>
      </c>
      <c r="L36" s="6" t="inlineStr">
        <is>
          <t>Válido</t>
        </is>
      </c>
      <c r="M36" s="2">
        <f>IF(L36="Válido","Sim","Não")</f>
        <v/>
      </c>
      <c r="N36" s="2" t="inlineStr"/>
    </row>
    <row r="37">
      <c r="A37" s="2" t="inlineStr">
        <is>
          <t>4Bracos_2700_R0101_80W_2026-10-09_12_20.csv</t>
        </is>
      </c>
      <c r="B37" s="2" t="inlineStr">
        <is>
          <t>80W_2700RPM_R0101</t>
        </is>
      </c>
      <c r="C37" s="2" t="n">
        <v>80</v>
      </c>
      <c r="D37" s="2" t="n">
        <v>2700</v>
      </c>
      <c r="E37" s="3">
        <f>D37*2/60</f>
        <v/>
      </c>
      <c r="F37" s="2" t="inlineStr">
        <is>
          <t>0101</t>
        </is>
      </c>
      <c r="G37" s="2" t="n">
        <v>4</v>
      </c>
      <c r="H37" s="2">
        <f>INDEX(Parametros!$B$2:$B$9,MATCH(G37,Parametros!$A$2:$A$9,0))</f>
        <v/>
      </c>
      <c r="I37" s="4">
        <f>1/(VALUE(MID(F37,1,1))/Parametros!$E$2+VALUE(MID(F37,2,1))/Parametros!$E$3+VALUE(MID(F37,3,1))/Parametros!$E$4+VALUE(MID(F37,4,1))/Parametros!$E$5)</f>
        <v/>
      </c>
      <c r="J37" s="5">
        <f>IF(G37=0,Parametros!$E$8,Parametros!$E$6+Parametros!$E$6*(Parametros!$E$7/G37+I37)/(Parametros!$E$6+Parametros!$E$7/G37+I37))</f>
        <v/>
      </c>
      <c r="K37" s="2" t="inlineStr">
        <is>
          <t>2026-10-09 12:20</t>
        </is>
      </c>
      <c r="L37" s="6" t="inlineStr">
        <is>
          <t>Válido</t>
        </is>
      </c>
      <c r="M37" s="2">
        <f>IF(L37="Válido","Sim","Não")</f>
        <v/>
      </c>
      <c r="N37" s="2" t="inlineStr"/>
    </row>
    <row r="38">
      <c r="A38" s="2" t="inlineStr">
        <is>
          <t>3Bracos_2700_R0101_80W_2026-10-09_12_20.csv</t>
        </is>
      </c>
      <c r="B38" s="2" t="inlineStr">
        <is>
          <t>80W_2700RPM_R0101</t>
        </is>
      </c>
      <c r="C38" s="2" t="n">
        <v>80</v>
      </c>
      <c r="D38" s="2" t="n">
        <v>2700</v>
      </c>
      <c r="E38" s="3">
        <f>D38*2/60</f>
        <v/>
      </c>
      <c r="F38" s="2" t="inlineStr">
        <is>
          <t>0101</t>
        </is>
      </c>
      <c r="G38" s="2" t="n">
        <v>3</v>
      </c>
      <c r="H38" s="2">
        <f>INDEX(Parametros!$B$2:$B$9,MATCH(G38,Parametros!$A$2:$A$9,0))</f>
        <v/>
      </c>
      <c r="I38" s="4">
        <f>1/(VALUE(MID(F38,1,1))/Parametros!$E$2+VALUE(MID(F38,2,1))/Parametros!$E$3+VALUE(MID(F38,3,1))/Parametros!$E$4+VALUE(MID(F38,4,1))/Parametros!$E$5)</f>
        <v/>
      </c>
      <c r="J38" s="5">
        <f>IF(G38=0,Parametros!$E$8,Parametros!$E$6+Parametros!$E$6*(Parametros!$E$7/G38+I38)/(Parametros!$E$6+Parametros!$E$7/G38+I38))</f>
        <v/>
      </c>
      <c r="K38" s="2" t="inlineStr">
        <is>
          <t>2026-10-09 12:20</t>
        </is>
      </c>
      <c r="L38" s="6" t="inlineStr">
        <is>
          <t>Válido</t>
        </is>
      </c>
      <c r="M38" s="2">
        <f>IF(L38="Válido","Sim","Não")</f>
        <v/>
      </c>
      <c r="N38" s="2" t="inlineStr"/>
    </row>
    <row r="39">
      <c r="A39" s="2" t="inlineStr">
        <is>
          <t>2Bracos_2700_R0101_80W_2026-10-09_12_20.csv</t>
        </is>
      </c>
      <c r="B39" s="2" t="inlineStr">
        <is>
          <t>80W_2700RPM_R0101</t>
        </is>
      </c>
      <c r="C39" s="2" t="n">
        <v>80</v>
      </c>
      <c r="D39" s="2" t="n">
        <v>2700</v>
      </c>
      <c r="E39" s="3">
        <f>D39*2/60</f>
        <v/>
      </c>
      <c r="F39" s="2" t="inlineStr">
        <is>
          <t>0101</t>
        </is>
      </c>
      <c r="G39" s="2" t="n">
        <v>2</v>
      </c>
      <c r="H39" s="2">
        <f>INDEX(Parametros!$B$2:$B$9,MATCH(G39,Parametros!$A$2:$A$9,0))</f>
        <v/>
      </c>
      <c r="I39" s="4">
        <f>1/(VALUE(MID(F39,1,1))/Parametros!$E$2+VALUE(MID(F39,2,1))/Parametros!$E$3+VALUE(MID(F39,3,1))/Parametros!$E$4+VALUE(MID(F39,4,1))/Parametros!$E$5)</f>
        <v/>
      </c>
      <c r="J39" s="5">
        <f>IF(G39=0,Parametros!$E$8,Parametros!$E$6+Parametros!$E$6*(Parametros!$E$7/G39+I39)/(Parametros!$E$6+Parametros!$E$7/G39+I39))</f>
        <v/>
      </c>
      <c r="K39" s="2" t="inlineStr">
        <is>
          <t>2026-10-09 12:20</t>
        </is>
      </c>
      <c r="L39" s="6" t="inlineStr">
        <is>
          <t>Válido</t>
        </is>
      </c>
      <c r="M39" s="2">
        <f>IF(L39="Válido","Sim","Não")</f>
        <v/>
      </c>
      <c r="N39" s="2" t="inlineStr"/>
    </row>
    <row r="40">
      <c r="A40" s="2" t="inlineStr">
        <is>
          <t>1Bracos_2700_R0101_80W_2026-10-09_12_20.csv</t>
        </is>
      </c>
      <c r="B40" s="2" t="inlineStr">
        <is>
          <t>80W_2700RPM_R0101</t>
        </is>
      </c>
      <c r="C40" s="2" t="n">
        <v>80</v>
      </c>
      <c r="D40" s="2" t="n">
        <v>2700</v>
      </c>
      <c r="E40" s="3">
        <f>D40*2/60</f>
        <v/>
      </c>
      <c r="F40" s="2" t="inlineStr">
        <is>
          <t>0101</t>
        </is>
      </c>
      <c r="G40" s="2" t="n">
        <v>1</v>
      </c>
      <c r="H40" s="2">
        <f>INDEX(Parametros!$B$2:$B$9,MATCH(G40,Parametros!$A$2:$A$9,0))</f>
        <v/>
      </c>
      <c r="I40" s="4">
        <f>1/(VALUE(MID(F40,1,1))/Parametros!$E$2+VALUE(MID(F40,2,1))/Parametros!$E$3+VALUE(MID(F40,3,1))/Parametros!$E$4+VALUE(MID(F40,4,1))/Parametros!$E$5)</f>
        <v/>
      </c>
      <c r="J40" s="5">
        <f>IF(G40=0,Parametros!$E$8,Parametros!$E$6+Parametros!$E$6*(Parametros!$E$7/G40+I40)/(Parametros!$E$6+Parametros!$E$7/G40+I40))</f>
        <v/>
      </c>
      <c r="K40" s="2" t="inlineStr">
        <is>
          <t>2026-10-09 12:20</t>
        </is>
      </c>
      <c r="L40" s="6" t="inlineStr">
        <is>
          <t>Válido</t>
        </is>
      </c>
      <c r="M40" s="2">
        <f>IF(L40="Válido","Sim","Não")</f>
        <v/>
      </c>
      <c r="N40" s="2" t="inlineStr"/>
    </row>
    <row r="41">
      <c r="A41" s="2" t="inlineStr">
        <is>
          <t>0Bracos_2700_R0101_80W_2026-10-09_12_20.csv</t>
        </is>
      </c>
      <c r="B41" s="2" t="inlineStr">
        <is>
          <t>80W_2700RPM_R0101</t>
        </is>
      </c>
      <c r="C41" s="2" t="n">
        <v>80</v>
      </c>
      <c r="D41" s="2" t="n">
        <v>2700</v>
      </c>
      <c r="E41" s="3">
        <f>D41*2/60</f>
        <v/>
      </c>
      <c r="F41" s="2" t="inlineStr">
        <is>
          <t>0101</t>
        </is>
      </c>
      <c r="G41" s="2" t="n">
        <v>0</v>
      </c>
      <c r="H41" s="2">
        <f>INDEX(Parametros!$B$2:$B$9,MATCH(G41,Parametros!$A$2:$A$9,0))</f>
        <v/>
      </c>
      <c r="I41" s="4">
        <f>1/(VALUE(MID(F41,1,1))/Parametros!$E$2+VALUE(MID(F41,2,1))/Parametros!$E$3+VALUE(MID(F41,3,1))/Parametros!$E$4+VALUE(MID(F41,4,1))/Parametros!$E$5)</f>
        <v/>
      </c>
      <c r="J41" s="5">
        <f>IF(G41=0,Parametros!$E$8,Parametros!$E$6+Parametros!$E$6*(Parametros!$E$7/G41+I41)/(Parametros!$E$6+Parametros!$E$7/G41+I41))</f>
        <v/>
      </c>
      <c r="K41" s="2" t="inlineStr">
        <is>
          <t>2026-10-09 12:20</t>
        </is>
      </c>
      <c r="L41" s="6" t="inlineStr">
        <is>
          <t>Válido</t>
        </is>
      </c>
      <c r="M41" s="2">
        <f>IF(L41="Válido","Sim","Não")</f>
        <v/>
      </c>
      <c r="N41" s="2" t="inlineStr"/>
    </row>
    <row r="42">
      <c r="A42" s="2" t="inlineStr">
        <is>
          <t>7Bracos_2700_R0110_80W_2026-10-09_12_20.csv</t>
        </is>
      </c>
      <c r="B42" s="2" t="inlineStr">
        <is>
          <t>80W_2700RPM_R0110</t>
        </is>
      </c>
      <c r="C42" s="2" t="n">
        <v>80</v>
      </c>
      <c r="D42" s="2" t="n">
        <v>2700</v>
      </c>
      <c r="E42" s="3">
        <f>D42*2/60</f>
        <v/>
      </c>
      <c r="F42" s="2" t="inlineStr">
        <is>
          <t>0110</t>
        </is>
      </c>
      <c r="G42" s="2" t="n">
        <v>7</v>
      </c>
      <c r="H42" s="2">
        <f>INDEX(Parametros!$B$2:$B$9,MATCH(G42,Parametros!$A$2:$A$9,0))</f>
        <v/>
      </c>
      <c r="I42" s="4">
        <f>1/(VALUE(MID(F42,1,1))/Parametros!$E$2+VALUE(MID(F42,2,1))/Parametros!$E$3+VALUE(MID(F42,3,1))/Parametros!$E$4+VALUE(MID(F42,4,1))/Parametros!$E$5)</f>
        <v/>
      </c>
      <c r="J42" s="5">
        <f>IF(G42=0,Parametros!$E$8,Parametros!$E$6+Parametros!$E$6*(Parametros!$E$7/G42+I42)/(Parametros!$E$6+Parametros!$E$7/G42+I42))</f>
        <v/>
      </c>
      <c r="K42" s="2" t="inlineStr">
        <is>
          <t>2026-10-09 12:20</t>
        </is>
      </c>
      <c r="L42" s="6" t="inlineStr">
        <is>
          <t>Válido</t>
        </is>
      </c>
      <c r="M42" s="2">
        <f>IF(L42="Válido","Sim","Não")</f>
        <v/>
      </c>
      <c r="N42" s="2" t="inlineStr"/>
    </row>
    <row r="43">
      <c r="A43" s="2" t="inlineStr">
        <is>
          <t>6Bracos_2700_R0110_80W_2026-10-09_12_20.csv</t>
        </is>
      </c>
      <c r="B43" s="2" t="inlineStr">
        <is>
          <t>80W_2700RPM_R0110</t>
        </is>
      </c>
      <c r="C43" s="2" t="n">
        <v>80</v>
      </c>
      <c r="D43" s="2" t="n">
        <v>2700</v>
      </c>
      <c r="E43" s="3">
        <f>D43*2/60</f>
        <v/>
      </c>
      <c r="F43" s="2" t="inlineStr">
        <is>
          <t>0110</t>
        </is>
      </c>
      <c r="G43" s="2" t="n">
        <v>6</v>
      </c>
      <c r="H43" s="2">
        <f>INDEX(Parametros!$B$2:$B$9,MATCH(G43,Parametros!$A$2:$A$9,0))</f>
        <v/>
      </c>
      <c r="I43" s="4">
        <f>1/(VALUE(MID(F43,1,1))/Parametros!$E$2+VALUE(MID(F43,2,1))/Parametros!$E$3+VALUE(MID(F43,3,1))/Parametros!$E$4+VALUE(MID(F43,4,1))/Parametros!$E$5)</f>
        <v/>
      </c>
      <c r="J43" s="5">
        <f>IF(G43=0,Parametros!$E$8,Parametros!$E$6+Parametros!$E$6*(Parametros!$E$7/G43+I43)/(Parametros!$E$6+Parametros!$E$7/G43+I43))</f>
        <v/>
      </c>
      <c r="K43" s="2" t="inlineStr">
        <is>
          <t>2026-10-09 12:20</t>
        </is>
      </c>
      <c r="L43" s="6" t="inlineStr">
        <is>
          <t>Válido</t>
        </is>
      </c>
      <c r="M43" s="2">
        <f>IF(L43="Válido","Sim","Não")</f>
        <v/>
      </c>
      <c r="N43" s="2" t="inlineStr"/>
    </row>
    <row r="44">
      <c r="A44" s="2" t="inlineStr">
        <is>
          <t>5Bracos_2700_R0110_80W_2026-10-09_12_20.csv</t>
        </is>
      </c>
      <c r="B44" s="2" t="inlineStr">
        <is>
          <t>80W_2700RPM_R0110</t>
        </is>
      </c>
      <c r="C44" s="2" t="n">
        <v>80</v>
      </c>
      <c r="D44" s="2" t="n">
        <v>2700</v>
      </c>
      <c r="E44" s="3">
        <f>D44*2/60</f>
        <v/>
      </c>
      <c r="F44" s="2" t="inlineStr">
        <is>
          <t>0110</t>
        </is>
      </c>
      <c r="G44" s="2" t="n">
        <v>5</v>
      </c>
      <c r="H44" s="2">
        <f>INDEX(Parametros!$B$2:$B$9,MATCH(G44,Parametros!$A$2:$A$9,0))</f>
        <v/>
      </c>
      <c r="I44" s="4">
        <f>1/(VALUE(MID(F44,1,1))/Parametros!$E$2+VALUE(MID(F44,2,1))/Parametros!$E$3+VALUE(MID(F44,3,1))/Parametros!$E$4+VALUE(MID(F44,4,1))/Parametros!$E$5)</f>
        <v/>
      </c>
      <c r="J44" s="5">
        <f>IF(G44=0,Parametros!$E$8,Parametros!$E$6+Parametros!$E$6*(Parametros!$E$7/G44+I44)/(Parametros!$E$6+Parametros!$E$7/G44+I44))</f>
        <v/>
      </c>
      <c r="K44" s="2" t="inlineStr">
        <is>
          <t>2026-10-09 12:20</t>
        </is>
      </c>
      <c r="L44" s="6" t="inlineStr">
        <is>
          <t>Válido</t>
        </is>
      </c>
      <c r="M44" s="2">
        <f>IF(L44="Válido","Sim","Não")</f>
        <v/>
      </c>
      <c r="N44" s="2" t="inlineStr"/>
    </row>
    <row r="45">
      <c r="A45" s="2" t="inlineStr">
        <is>
          <t>4Bracos_2700_R0110_80W_2026-10-09_12_20.csv</t>
        </is>
      </c>
      <c r="B45" s="2" t="inlineStr">
        <is>
          <t>80W_2700RPM_R0110</t>
        </is>
      </c>
      <c r="C45" s="2" t="n">
        <v>80</v>
      </c>
      <c r="D45" s="2" t="n">
        <v>2700</v>
      </c>
      <c r="E45" s="3">
        <f>D45*2/60</f>
        <v/>
      </c>
      <c r="F45" s="2" t="inlineStr">
        <is>
          <t>0110</t>
        </is>
      </c>
      <c r="G45" s="2" t="n">
        <v>4</v>
      </c>
      <c r="H45" s="2">
        <f>INDEX(Parametros!$B$2:$B$9,MATCH(G45,Parametros!$A$2:$A$9,0))</f>
        <v/>
      </c>
      <c r="I45" s="4">
        <f>1/(VALUE(MID(F45,1,1))/Parametros!$E$2+VALUE(MID(F45,2,1))/Parametros!$E$3+VALUE(MID(F45,3,1))/Parametros!$E$4+VALUE(MID(F45,4,1))/Parametros!$E$5)</f>
        <v/>
      </c>
      <c r="J45" s="5">
        <f>IF(G45=0,Parametros!$E$8,Parametros!$E$6+Parametros!$E$6*(Parametros!$E$7/G45+I45)/(Parametros!$E$6+Parametros!$E$7/G45+I45))</f>
        <v/>
      </c>
      <c r="K45" s="2" t="inlineStr">
        <is>
          <t>2026-10-09 12:20</t>
        </is>
      </c>
      <c r="L45" s="6" t="inlineStr">
        <is>
          <t>Válido</t>
        </is>
      </c>
      <c r="M45" s="2">
        <f>IF(L45="Válido","Sim","Não")</f>
        <v/>
      </c>
      <c r="N45" s="2" t="inlineStr"/>
    </row>
    <row r="46">
      <c r="A46" s="2" t="inlineStr">
        <is>
          <t>3Bracos_2700_R0110_80W_2026-10-09_12_20.csv</t>
        </is>
      </c>
      <c r="B46" s="2" t="inlineStr">
        <is>
          <t>80W_2700RPM_R0110</t>
        </is>
      </c>
      <c r="C46" s="2" t="n">
        <v>80</v>
      </c>
      <c r="D46" s="2" t="n">
        <v>2700</v>
      </c>
      <c r="E46" s="3">
        <f>D46*2/60</f>
        <v/>
      </c>
      <c r="F46" s="2" t="inlineStr">
        <is>
          <t>0110</t>
        </is>
      </c>
      <c r="G46" s="2" t="n">
        <v>3</v>
      </c>
      <c r="H46" s="2">
        <f>INDEX(Parametros!$B$2:$B$9,MATCH(G46,Parametros!$A$2:$A$9,0))</f>
        <v/>
      </c>
      <c r="I46" s="4">
        <f>1/(VALUE(MID(F46,1,1))/Parametros!$E$2+VALUE(MID(F46,2,1))/Parametros!$E$3+VALUE(MID(F46,3,1))/Parametros!$E$4+VALUE(MID(F46,4,1))/Parametros!$E$5)</f>
        <v/>
      </c>
      <c r="J46" s="5">
        <f>IF(G46=0,Parametros!$E$8,Parametros!$E$6+Parametros!$E$6*(Parametros!$E$7/G46+I46)/(Parametros!$E$6+Parametros!$E$7/G46+I46))</f>
        <v/>
      </c>
      <c r="K46" s="2" t="inlineStr">
        <is>
          <t>2026-10-09 12:20</t>
        </is>
      </c>
      <c r="L46" s="6" t="inlineStr">
        <is>
          <t>Válido</t>
        </is>
      </c>
      <c r="M46" s="2">
        <f>IF(L46="Válido","Sim","Não")</f>
        <v/>
      </c>
      <c r="N46" s="2" t="inlineStr"/>
    </row>
    <row r="47">
      <c r="A47" s="2" t="inlineStr">
        <is>
          <t>2Bracos_2700_R0110_80W_2026-10-09_12_20.csv</t>
        </is>
      </c>
      <c r="B47" s="2" t="inlineStr">
        <is>
          <t>80W_2700RPM_R0110</t>
        </is>
      </c>
      <c r="C47" s="2" t="n">
        <v>80</v>
      </c>
      <c r="D47" s="2" t="n">
        <v>2700</v>
      </c>
      <c r="E47" s="3">
        <f>D47*2/60</f>
        <v/>
      </c>
      <c r="F47" s="2" t="inlineStr">
        <is>
          <t>0110</t>
        </is>
      </c>
      <c r="G47" s="2" t="n">
        <v>2</v>
      </c>
      <c r="H47" s="2">
        <f>INDEX(Parametros!$B$2:$B$9,MATCH(G47,Parametros!$A$2:$A$9,0))</f>
        <v/>
      </c>
      <c r="I47" s="4">
        <f>1/(VALUE(MID(F47,1,1))/Parametros!$E$2+VALUE(MID(F47,2,1))/Parametros!$E$3+VALUE(MID(F47,3,1))/Parametros!$E$4+VALUE(MID(F47,4,1))/Parametros!$E$5)</f>
        <v/>
      </c>
      <c r="J47" s="5">
        <f>IF(G47=0,Parametros!$E$8,Parametros!$E$6+Parametros!$E$6*(Parametros!$E$7/G47+I47)/(Parametros!$E$6+Parametros!$E$7/G47+I47))</f>
        <v/>
      </c>
      <c r="K47" s="2" t="inlineStr">
        <is>
          <t>2026-10-09 12:20</t>
        </is>
      </c>
      <c r="L47" s="6" t="inlineStr">
        <is>
          <t>Válido</t>
        </is>
      </c>
      <c r="M47" s="2">
        <f>IF(L47="Válido","Sim","Não")</f>
        <v/>
      </c>
      <c r="N47" s="2" t="inlineStr"/>
    </row>
    <row r="48">
      <c r="A48" s="2" t="inlineStr">
        <is>
          <t>1Bracos_2700_R0110_80W_2026-10-09_12_20.csv</t>
        </is>
      </c>
      <c r="B48" s="2" t="inlineStr">
        <is>
          <t>80W_2700RPM_R0110</t>
        </is>
      </c>
      <c r="C48" s="2" t="n">
        <v>80</v>
      </c>
      <c r="D48" s="2" t="n">
        <v>2700</v>
      </c>
      <c r="E48" s="3">
        <f>D48*2/60</f>
        <v/>
      </c>
      <c r="F48" s="2" t="inlineStr">
        <is>
          <t>0110</t>
        </is>
      </c>
      <c r="G48" s="2" t="n">
        <v>1</v>
      </c>
      <c r="H48" s="2">
        <f>INDEX(Parametros!$B$2:$B$9,MATCH(G48,Parametros!$A$2:$A$9,0))</f>
        <v/>
      </c>
      <c r="I48" s="4">
        <f>1/(VALUE(MID(F48,1,1))/Parametros!$E$2+VALUE(MID(F48,2,1))/Parametros!$E$3+VALUE(MID(F48,3,1))/Parametros!$E$4+VALUE(MID(F48,4,1))/Parametros!$E$5)</f>
        <v/>
      </c>
      <c r="J48" s="5">
        <f>IF(G48=0,Parametros!$E$8,Parametros!$E$6+Parametros!$E$6*(Parametros!$E$7/G48+I48)/(Parametros!$E$6+Parametros!$E$7/G48+I48))</f>
        <v/>
      </c>
      <c r="K48" s="2" t="inlineStr">
        <is>
          <t>2026-10-09 12:20</t>
        </is>
      </c>
      <c r="L48" s="6" t="inlineStr">
        <is>
          <t>Válido</t>
        </is>
      </c>
      <c r="M48" s="2">
        <f>IF(L48="Válido","Sim","Não")</f>
        <v/>
      </c>
      <c r="N48" s="2" t="inlineStr"/>
    </row>
    <row r="49">
      <c r="A49" s="2" t="inlineStr">
        <is>
          <t>0Bracos_2700_R0110_80W_2026-10-09_12_20.csv</t>
        </is>
      </c>
      <c r="B49" s="2" t="inlineStr">
        <is>
          <t>80W_2700RPM_R0110</t>
        </is>
      </c>
      <c r="C49" s="2" t="n">
        <v>80</v>
      </c>
      <c r="D49" s="2" t="n">
        <v>2700</v>
      </c>
      <c r="E49" s="3">
        <f>D49*2/60</f>
        <v/>
      </c>
      <c r="F49" s="2" t="inlineStr">
        <is>
          <t>0110</t>
        </is>
      </c>
      <c r="G49" s="2" t="n">
        <v>0</v>
      </c>
      <c r="H49" s="2">
        <f>INDEX(Parametros!$B$2:$B$9,MATCH(G49,Parametros!$A$2:$A$9,0))</f>
        <v/>
      </c>
      <c r="I49" s="4">
        <f>1/(VALUE(MID(F49,1,1))/Parametros!$E$2+VALUE(MID(F49,2,1))/Parametros!$E$3+VALUE(MID(F49,3,1))/Parametros!$E$4+VALUE(MID(F49,4,1))/Parametros!$E$5)</f>
        <v/>
      </c>
      <c r="J49" s="5">
        <f>IF(G49=0,Parametros!$E$8,Parametros!$E$6+Parametros!$E$6*(Parametros!$E$7/G49+I49)/(Parametros!$E$6+Parametros!$E$7/G49+I49))</f>
        <v/>
      </c>
      <c r="K49" s="2" t="inlineStr">
        <is>
          <t>2026-10-09 12:20</t>
        </is>
      </c>
      <c r="L49" s="6" t="inlineStr">
        <is>
          <t>Válido</t>
        </is>
      </c>
      <c r="M49" s="2">
        <f>IF(L49="Válido","Sim","Não")</f>
        <v/>
      </c>
      <c r="N49" s="2" t="inlineStr"/>
    </row>
    <row r="50">
      <c r="A50" s="2" t="inlineStr">
        <is>
          <t>7Bracos_2700_R0111_80W_2026-10-09_12_20.csv</t>
        </is>
      </c>
      <c r="B50" s="2" t="inlineStr">
        <is>
          <t>80W_2700RPM_R0111</t>
        </is>
      </c>
      <c r="C50" s="2" t="n">
        <v>80</v>
      </c>
      <c r="D50" s="2" t="n">
        <v>2700</v>
      </c>
      <c r="E50" s="3">
        <f>D50*2/60</f>
        <v/>
      </c>
      <c r="F50" s="2" t="inlineStr">
        <is>
          <t>0111</t>
        </is>
      </c>
      <c r="G50" s="2" t="n">
        <v>7</v>
      </c>
      <c r="H50" s="2">
        <f>INDEX(Parametros!$B$2:$B$9,MATCH(G50,Parametros!$A$2:$A$9,0))</f>
        <v/>
      </c>
      <c r="I50" s="4">
        <f>1/(VALUE(MID(F50,1,1))/Parametros!$E$2+VALUE(MID(F50,2,1))/Parametros!$E$3+VALUE(MID(F50,3,1))/Parametros!$E$4+VALUE(MID(F50,4,1))/Parametros!$E$5)</f>
        <v/>
      </c>
      <c r="J50" s="5">
        <f>IF(G50=0,Parametros!$E$8,Parametros!$E$6+Parametros!$E$6*(Parametros!$E$7/G50+I50)/(Parametros!$E$6+Parametros!$E$7/G50+I50))</f>
        <v/>
      </c>
      <c r="K50" s="2" t="inlineStr">
        <is>
          <t>2026-10-09 12:20</t>
        </is>
      </c>
      <c r="L50" s="6" t="inlineStr">
        <is>
          <t>Válido</t>
        </is>
      </c>
      <c r="M50" s="2">
        <f>IF(L50="Válido","Sim","Não")</f>
        <v/>
      </c>
      <c r="N50" s="2" t="inlineStr"/>
    </row>
    <row r="51">
      <c r="A51" s="2" t="inlineStr">
        <is>
          <t>6Bracos_2700_R0111_80W_2026-10-09_12_20.csv</t>
        </is>
      </c>
      <c r="B51" s="2" t="inlineStr">
        <is>
          <t>80W_2700RPM_R0111</t>
        </is>
      </c>
      <c r="C51" s="2" t="n">
        <v>80</v>
      </c>
      <c r="D51" s="2" t="n">
        <v>2700</v>
      </c>
      <c r="E51" s="3">
        <f>D51*2/60</f>
        <v/>
      </c>
      <c r="F51" s="2" t="inlineStr">
        <is>
          <t>0111</t>
        </is>
      </c>
      <c r="G51" s="2" t="n">
        <v>6</v>
      </c>
      <c r="H51" s="2">
        <f>INDEX(Parametros!$B$2:$B$9,MATCH(G51,Parametros!$A$2:$A$9,0))</f>
        <v/>
      </c>
      <c r="I51" s="4">
        <f>1/(VALUE(MID(F51,1,1))/Parametros!$E$2+VALUE(MID(F51,2,1))/Parametros!$E$3+VALUE(MID(F51,3,1))/Parametros!$E$4+VALUE(MID(F51,4,1))/Parametros!$E$5)</f>
        <v/>
      </c>
      <c r="J51" s="5">
        <f>IF(G51=0,Parametros!$E$8,Parametros!$E$6+Parametros!$E$6*(Parametros!$E$7/G51+I51)/(Parametros!$E$6+Parametros!$E$7/G51+I51))</f>
        <v/>
      </c>
      <c r="K51" s="2" t="inlineStr">
        <is>
          <t>2026-10-09 12:20</t>
        </is>
      </c>
      <c r="L51" s="6" t="inlineStr">
        <is>
          <t>Válido</t>
        </is>
      </c>
      <c r="M51" s="2">
        <f>IF(L51="Válido","Sim","Não")</f>
        <v/>
      </c>
      <c r="N51" s="2" t="inlineStr"/>
    </row>
    <row r="52">
      <c r="A52" s="2" t="inlineStr">
        <is>
          <t>5Bracos_2700_R0111_80W_2026-10-09_12_20.csv</t>
        </is>
      </c>
      <c r="B52" s="2" t="inlineStr">
        <is>
          <t>80W_2700RPM_R0111</t>
        </is>
      </c>
      <c r="C52" s="2" t="n">
        <v>80</v>
      </c>
      <c r="D52" s="2" t="n">
        <v>2700</v>
      </c>
      <c r="E52" s="3">
        <f>D52*2/60</f>
        <v/>
      </c>
      <c r="F52" s="2" t="inlineStr">
        <is>
          <t>0111</t>
        </is>
      </c>
      <c r="G52" s="2" t="n">
        <v>5</v>
      </c>
      <c r="H52" s="2">
        <f>INDEX(Parametros!$B$2:$B$9,MATCH(G52,Parametros!$A$2:$A$9,0))</f>
        <v/>
      </c>
      <c r="I52" s="4">
        <f>1/(VALUE(MID(F52,1,1))/Parametros!$E$2+VALUE(MID(F52,2,1))/Parametros!$E$3+VALUE(MID(F52,3,1))/Parametros!$E$4+VALUE(MID(F52,4,1))/Parametros!$E$5)</f>
        <v/>
      </c>
      <c r="J52" s="5">
        <f>IF(G52=0,Parametros!$E$8,Parametros!$E$6+Parametros!$E$6*(Parametros!$E$7/G52+I52)/(Parametros!$E$6+Parametros!$E$7/G52+I52))</f>
        <v/>
      </c>
      <c r="K52" s="2" t="inlineStr">
        <is>
          <t>2026-10-09 12:20</t>
        </is>
      </c>
      <c r="L52" s="6" t="inlineStr">
        <is>
          <t>Válido</t>
        </is>
      </c>
      <c r="M52" s="2">
        <f>IF(L52="Válido","Sim","Não")</f>
        <v/>
      </c>
      <c r="N52" s="2" t="inlineStr"/>
    </row>
    <row r="53">
      <c r="A53" s="2" t="inlineStr">
        <is>
          <t>4Bracos_2700_R0111_80W_2026-10-09_12_20.csv</t>
        </is>
      </c>
      <c r="B53" s="2" t="inlineStr">
        <is>
          <t>80W_2700RPM_R0111</t>
        </is>
      </c>
      <c r="C53" s="2" t="n">
        <v>80</v>
      </c>
      <c r="D53" s="2" t="n">
        <v>2700</v>
      </c>
      <c r="E53" s="3">
        <f>D53*2/60</f>
        <v/>
      </c>
      <c r="F53" s="2" t="inlineStr">
        <is>
          <t>0111</t>
        </is>
      </c>
      <c r="G53" s="2" t="n">
        <v>4</v>
      </c>
      <c r="H53" s="2">
        <f>INDEX(Parametros!$B$2:$B$9,MATCH(G53,Parametros!$A$2:$A$9,0))</f>
        <v/>
      </c>
      <c r="I53" s="4">
        <f>1/(VALUE(MID(F53,1,1))/Parametros!$E$2+VALUE(MID(F53,2,1))/Parametros!$E$3+VALUE(MID(F53,3,1))/Parametros!$E$4+VALUE(MID(F53,4,1))/Parametros!$E$5)</f>
        <v/>
      </c>
      <c r="J53" s="5">
        <f>IF(G53=0,Parametros!$E$8,Parametros!$E$6+Parametros!$E$6*(Parametros!$E$7/G53+I53)/(Parametros!$E$6+Parametros!$E$7/G53+I53))</f>
        <v/>
      </c>
      <c r="K53" s="2" t="inlineStr">
        <is>
          <t>2026-10-09 12:20</t>
        </is>
      </c>
      <c r="L53" s="6" t="inlineStr">
        <is>
          <t>Válido</t>
        </is>
      </c>
      <c r="M53" s="2">
        <f>IF(L53="Válido","Sim","Não")</f>
        <v/>
      </c>
      <c r="N53" s="2" t="inlineStr"/>
    </row>
    <row r="54">
      <c r="A54" s="2" t="inlineStr">
        <is>
          <t>3Bracos_2700_R0111_80W_2026-10-09_12_20.csv</t>
        </is>
      </c>
      <c r="B54" s="2" t="inlineStr">
        <is>
          <t>80W_2700RPM_R0111</t>
        </is>
      </c>
      <c r="C54" s="2" t="n">
        <v>80</v>
      </c>
      <c r="D54" s="2" t="n">
        <v>2700</v>
      </c>
      <c r="E54" s="3">
        <f>D54*2/60</f>
        <v/>
      </c>
      <c r="F54" s="2" t="inlineStr">
        <is>
          <t>0111</t>
        </is>
      </c>
      <c r="G54" s="2" t="n">
        <v>3</v>
      </c>
      <c r="H54" s="2">
        <f>INDEX(Parametros!$B$2:$B$9,MATCH(G54,Parametros!$A$2:$A$9,0))</f>
        <v/>
      </c>
      <c r="I54" s="4">
        <f>1/(VALUE(MID(F54,1,1))/Parametros!$E$2+VALUE(MID(F54,2,1))/Parametros!$E$3+VALUE(MID(F54,3,1))/Parametros!$E$4+VALUE(MID(F54,4,1))/Parametros!$E$5)</f>
        <v/>
      </c>
      <c r="J54" s="5">
        <f>IF(G54=0,Parametros!$E$8,Parametros!$E$6+Parametros!$E$6*(Parametros!$E$7/G54+I54)/(Parametros!$E$6+Parametros!$E$7/G54+I54))</f>
        <v/>
      </c>
      <c r="K54" s="2" t="inlineStr">
        <is>
          <t>2026-10-09 12:20</t>
        </is>
      </c>
      <c r="L54" s="6" t="inlineStr">
        <is>
          <t>Válido</t>
        </is>
      </c>
      <c r="M54" s="2">
        <f>IF(L54="Válido","Sim","Não")</f>
        <v/>
      </c>
      <c r="N54" s="2" t="inlineStr"/>
    </row>
    <row r="55">
      <c r="A55" s="2" t="inlineStr">
        <is>
          <t>2Bracos_2700_R0111_80W_2026-10-09_12_20.csv</t>
        </is>
      </c>
      <c r="B55" s="2" t="inlineStr">
        <is>
          <t>80W_2700RPM_R0111</t>
        </is>
      </c>
      <c r="C55" s="2" t="n">
        <v>80</v>
      </c>
      <c r="D55" s="2" t="n">
        <v>2700</v>
      </c>
      <c r="E55" s="3">
        <f>D55*2/60</f>
        <v/>
      </c>
      <c r="F55" s="2" t="inlineStr">
        <is>
          <t>0111</t>
        </is>
      </c>
      <c r="G55" s="2" t="n">
        <v>2</v>
      </c>
      <c r="H55" s="2">
        <f>INDEX(Parametros!$B$2:$B$9,MATCH(G55,Parametros!$A$2:$A$9,0))</f>
        <v/>
      </c>
      <c r="I55" s="4">
        <f>1/(VALUE(MID(F55,1,1))/Parametros!$E$2+VALUE(MID(F55,2,1))/Parametros!$E$3+VALUE(MID(F55,3,1))/Parametros!$E$4+VALUE(MID(F55,4,1))/Parametros!$E$5)</f>
        <v/>
      </c>
      <c r="J55" s="5">
        <f>IF(G55=0,Parametros!$E$8,Parametros!$E$6+Parametros!$E$6*(Parametros!$E$7/G55+I55)/(Parametros!$E$6+Parametros!$E$7/G55+I55))</f>
        <v/>
      </c>
      <c r="K55" s="2" t="inlineStr">
        <is>
          <t>2026-10-09 12:20</t>
        </is>
      </c>
      <c r="L55" s="6" t="inlineStr">
        <is>
          <t>Válido</t>
        </is>
      </c>
      <c r="M55" s="2">
        <f>IF(L55="Válido","Sim","Não")</f>
        <v/>
      </c>
      <c r="N55" s="2" t="inlineStr"/>
    </row>
    <row r="56">
      <c r="A56" s="2" t="inlineStr">
        <is>
          <t>1Bracos_2700_R0111_80W_2026-10-09_12_20.csv</t>
        </is>
      </c>
      <c r="B56" s="2" t="inlineStr">
        <is>
          <t>80W_2700RPM_R0111</t>
        </is>
      </c>
      <c r="C56" s="2" t="n">
        <v>80</v>
      </c>
      <c r="D56" s="2" t="n">
        <v>2700</v>
      </c>
      <c r="E56" s="3">
        <f>D56*2/60</f>
        <v/>
      </c>
      <c r="F56" s="2" t="inlineStr">
        <is>
          <t>0111</t>
        </is>
      </c>
      <c r="G56" s="2" t="n">
        <v>1</v>
      </c>
      <c r="H56" s="2">
        <f>INDEX(Parametros!$B$2:$B$9,MATCH(G56,Parametros!$A$2:$A$9,0))</f>
        <v/>
      </c>
      <c r="I56" s="4">
        <f>1/(VALUE(MID(F56,1,1))/Parametros!$E$2+VALUE(MID(F56,2,1))/Parametros!$E$3+VALUE(MID(F56,3,1))/Parametros!$E$4+VALUE(MID(F56,4,1))/Parametros!$E$5)</f>
        <v/>
      </c>
      <c r="J56" s="5">
        <f>IF(G56=0,Parametros!$E$8,Parametros!$E$6+Parametros!$E$6*(Parametros!$E$7/G56+I56)/(Parametros!$E$6+Parametros!$E$7/G56+I56))</f>
        <v/>
      </c>
      <c r="K56" s="2" t="inlineStr">
        <is>
          <t>2026-10-09 12:20</t>
        </is>
      </c>
      <c r="L56" s="6" t="inlineStr">
        <is>
          <t>Válido</t>
        </is>
      </c>
      <c r="M56" s="2">
        <f>IF(L56="Válido","Sim","Não")</f>
        <v/>
      </c>
      <c r="N56" s="2" t="inlineStr"/>
    </row>
    <row r="57">
      <c r="A57" s="2" t="inlineStr">
        <is>
          <t>0Bracos_2700_R0111_80W_2026-10-09_12_20.csv</t>
        </is>
      </c>
      <c r="B57" s="2" t="inlineStr">
        <is>
          <t>80W_2700RPM_R0111</t>
        </is>
      </c>
      <c r="C57" s="2" t="n">
        <v>80</v>
      </c>
      <c r="D57" s="2" t="n">
        <v>2700</v>
      </c>
      <c r="E57" s="3">
        <f>D57*2/60</f>
        <v/>
      </c>
      <c r="F57" s="2" t="inlineStr">
        <is>
          <t>0111</t>
        </is>
      </c>
      <c r="G57" s="2" t="n">
        <v>0</v>
      </c>
      <c r="H57" s="2">
        <f>INDEX(Parametros!$B$2:$B$9,MATCH(G57,Parametros!$A$2:$A$9,0))</f>
        <v/>
      </c>
      <c r="I57" s="4">
        <f>1/(VALUE(MID(F57,1,1))/Parametros!$E$2+VALUE(MID(F57,2,1))/Parametros!$E$3+VALUE(MID(F57,3,1))/Parametros!$E$4+VALUE(MID(F57,4,1))/Parametros!$E$5)</f>
        <v/>
      </c>
      <c r="J57" s="5">
        <f>IF(G57=0,Parametros!$E$8,Parametros!$E$6+Parametros!$E$6*(Parametros!$E$7/G57+I57)/(Parametros!$E$6+Parametros!$E$7/G57+I57))</f>
        <v/>
      </c>
      <c r="K57" s="2" t="inlineStr">
        <is>
          <t>2026-10-09 12:20</t>
        </is>
      </c>
      <c r="L57" s="6" t="inlineStr">
        <is>
          <t>Válido</t>
        </is>
      </c>
      <c r="M57" s="2">
        <f>IF(L57="Válido","Sim","Não")</f>
        <v/>
      </c>
      <c r="N57" s="2" t="inlineStr"/>
    </row>
    <row r="58">
      <c r="A58" s="2" t="inlineStr">
        <is>
          <t>7Bracos_2700_R1000_80W_2026-10-09_12_20.csv</t>
        </is>
      </c>
      <c r="B58" s="2" t="inlineStr">
        <is>
          <t>80W_2700RPM_R1000</t>
        </is>
      </c>
      <c r="C58" s="2" t="n">
        <v>80</v>
      </c>
      <c r="D58" s="2" t="n">
        <v>2700</v>
      </c>
      <c r="E58" s="3">
        <f>D58*2/60</f>
        <v/>
      </c>
      <c r="F58" s="2" t="inlineStr">
        <is>
          <t>1000</t>
        </is>
      </c>
      <c r="G58" s="2" t="n">
        <v>7</v>
      </c>
      <c r="H58" s="2">
        <f>INDEX(Parametros!$B$2:$B$9,MATCH(G58,Parametros!$A$2:$A$9,0))</f>
        <v/>
      </c>
      <c r="I58" s="4">
        <f>1/(VALUE(MID(F58,1,1))/Parametros!$E$2+VALUE(MID(F58,2,1))/Parametros!$E$3+VALUE(MID(F58,3,1))/Parametros!$E$4+VALUE(MID(F58,4,1))/Parametros!$E$5)</f>
        <v/>
      </c>
      <c r="J58" s="5">
        <f>IF(G58=0,Parametros!$E$8,Parametros!$E$6+Parametros!$E$6*(Parametros!$E$7/G58+I58)/(Parametros!$E$6+Parametros!$E$7/G58+I58))</f>
        <v/>
      </c>
      <c r="K58" s="2" t="inlineStr">
        <is>
          <t>2026-10-09 12:20</t>
        </is>
      </c>
      <c r="L58" s="7" t="inlineStr">
        <is>
          <t>Patamar baixo de ripple (suspeita DAQ)</t>
        </is>
      </c>
      <c r="M58" s="2">
        <f>IF(L58="Válido","Sim","Não")</f>
        <v/>
      </c>
      <c r="N58" s="2" t="inlineStr">
        <is>
          <t>Ripple x C mediano da config = 577 (esperado ~730 a 80W)</t>
        </is>
      </c>
    </row>
    <row r="59">
      <c r="A59" s="2" t="inlineStr">
        <is>
          <t>6Bracos_2700_R1000_80W_2026-10-09_12_20.csv</t>
        </is>
      </c>
      <c r="B59" s="2" t="inlineStr">
        <is>
          <t>80W_2700RPM_R1000</t>
        </is>
      </c>
      <c r="C59" s="2" t="n">
        <v>80</v>
      </c>
      <c r="D59" s="2" t="n">
        <v>2700</v>
      </c>
      <c r="E59" s="3">
        <f>D59*2/60</f>
        <v/>
      </c>
      <c r="F59" s="2" t="inlineStr">
        <is>
          <t>1000</t>
        </is>
      </c>
      <c r="G59" s="2" t="n">
        <v>6</v>
      </c>
      <c r="H59" s="2">
        <f>INDEX(Parametros!$B$2:$B$9,MATCH(G59,Parametros!$A$2:$A$9,0))</f>
        <v/>
      </c>
      <c r="I59" s="4">
        <f>1/(VALUE(MID(F59,1,1))/Parametros!$E$2+VALUE(MID(F59,2,1))/Parametros!$E$3+VALUE(MID(F59,3,1))/Parametros!$E$4+VALUE(MID(F59,4,1))/Parametros!$E$5)</f>
        <v/>
      </c>
      <c r="J59" s="5">
        <f>IF(G59=0,Parametros!$E$8,Parametros!$E$6+Parametros!$E$6*(Parametros!$E$7/G59+I59)/(Parametros!$E$6+Parametros!$E$7/G59+I59))</f>
        <v/>
      </c>
      <c r="K59" s="2" t="inlineStr">
        <is>
          <t>2026-10-09 12:20</t>
        </is>
      </c>
      <c r="L59" s="7" t="inlineStr">
        <is>
          <t>Patamar baixo de ripple (suspeita DAQ)</t>
        </is>
      </c>
      <c r="M59" s="2">
        <f>IF(L59="Válido","Sim","Não")</f>
        <v/>
      </c>
      <c r="N59" s="2" t="inlineStr">
        <is>
          <t>Ripple x C mediano da config = 577 (esperado ~730 a 80W)</t>
        </is>
      </c>
    </row>
    <row r="60">
      <c r="A60" s="2" t="inlineStr">
        <is>
          <t>5Bracos_2700_R1000_80W_2026-10-09_12_20.csv</t>
        </is>
      </c>
      <c r="B60" s="2" t="inlineStr">
        <is>
          <t>80W_2700RPM_R1000</t>
        </is>
      </c>
      <c r="C60" s="2" t="n">
        <v>80</v>
      </c>
      <c r="D60" s="2" t="n">
        <v>2700</v>
      </c>
      <c r="E60" s="3">
        <f>D60*2/60</f>
        <v/>
      </c>
      <c r="F60" s="2" t="inlineStr">
        <is>
          <t>1000</t>
        </is>
      </c>
      <c r="G60" s="2" t="n">
        <v>5</v>
      </c>
      <c r="H60" s="2">
        <f>INDEX(Parametros!$B$2:$B$9,MATCH(G60,Parametros!$A$2:$A$9,0))</f>
        <v/>
      </c>
      <c r="I60" s="4">
        <f>1/(VALUE(MID(F60,1,1))/Parametros!$E$2+VALUE(MID(F60,2,1))/Parametros!$E$3+VALUE(MID(F60,3,1))/Parametros!$E$4+VALUE(MID(F60,4,1))/Parametros!$E$5)</f>
        <v/>
      </c>
      <c r="J60" s="5">
        <f>IF(G60=0,Parametros!$E$8,Parametros!$E$6+Parametros!$E$6*(Parametros!$E$7/G60+I60)/(Parametros!$E$6+Parametros!$E$7/G60+I60))</f>
        <v/>
      </c>
      <c r="K60" s="2" t="inlineStr">
        <is>
          <t>2026-10-09 12:20</t>
        </is>
      </c>
      <c r="L60" s="7" t="inlineStr">
        <is>
          <t>Patamar baixo de ripple (suspeita DAQ)</t>
        </is>
      </c>
      <c r="M60" s="2">
        <f>IF(L60="Válido","Sim","Não")</f>
        <v/>
      </c>
      <c r="N60" s="2" t="inlineStr">
        <is>
          <t>Ripple x C mediano da config = 577 (esperado ~730 a 80W)</t>
        </is>
      </c>
    </row>
    <row r="61">
      <c r="A61" s="2" t="inlineStr">
        <is>
          <t>4Bracos_2700_R1000_80W_2026-10-09_12_20.csv</t>
        </is>
      </c>
      <c r="B61" s="2" t="inlineStr">
        <is>
          <t>80W_2700RPM_R1000</t>
        </is>
      </c>
      <c r="C61" s="2" t="n">
        <v>80</v>
      </c>
      <c r="D61" s="2" t="n">
        <v>2700</v>
      </c>
      <c r="E61" s="3">
        <f>D61*2/60</f>
        <v/>
      </c>
      <c r="F61" s="2" t="inlineStr">
        <is>
          <t>1000</t>
        </is>
      </c>
      <c r="G61" s="2" t="n">
        <v>4</v>
      </c>
      <c r="H61" s="2">
        <f>INDEX(Parametros!$B$2:$B$9,MATCH(G61,Parametros!$A$2:$A$9,0))</f>
        <v/>
      </c>
      <c r="I61" s="4">
        <f>1/(VALUE(MID(F61,1,1))/Parametros!$E$2+VALUE(MID(F61,2,1))/Parametros!$E$3+VALUE(MID(F61,3,1))/Parametros!$E$4+VALUE(MID(F61,4,1))/Parametros!$E$5)</f>
        <v/>
      </c>
      <c r="J61" s="5">
        <f>IF(G61=0,Parametros!$E$8,Parametros!$E$6+Parametros!$E$6*(Parametros!$E$7/G61+I61)/(Parametros!$E$6+Parametros!$E$7/G61+I61))</f>
        <v/>
      </c>
      <c r="K61" s="2" t="inlineStr">
        <is>
          <t>2026-10-09 12:20</t>
        </is>
      </c>
      <c r="L61" s="7" t="inlineStr">
        <is>
          <t>Patamar baixo de ripple (suspeita DAQ)</t>
        </is>
      </c>
      <c r="M61" s="2">
        <f>IF(L61="Válido","Sim","Não")</f>
        <v/>
      </c>
      <c r="N61" s="2" t="inlineStr">
        <is>
          <t>Ripple x C mediano da config = 577 (esperado ~730 a 80W)</t>
        </is>
      </c>
    </row>
    <row r="62">
      <c r="A62" s="2" t="inlineStr">
        <is>
          <t>3Bracos_2700_R1000_80W_2026-10-09_12_20.csv</t>
        </is>
      </c>
      <c r="B62" s="2" t="inlineStr">
        <is>
          <t>80W_2700RPM_R1000</t>
        </is>
      </c>
      <c r="C62" s="2" t="n">
        <v>80</v>
      </c>
      <c r="D62" s="2" t="n">
        <v>2700</v>
      </c>
      <c r="E62" s="3">
        <f>D62*2/60</f>
        <v/>
      </c>
      <c r="F62" s="2" t="inlineStr">
        <is>
          <t>1000</t>
        </is>
      </c>
      <c r="G62" s="2" t="n">
        <v>3</v>
      </c>
      <c r="H62" s="2">
        <f>INDEX(Parametros!$B$2:$B$9,MATCH(G62,Parametros!$A$2:$A$9,0))</f>
        <v/>
      </c>
      <c r="I62" s="4">
        <f>1/(VALUE(MID(F62,1,1))/Parametros!$E$2+VALUE(MID(F62,2,1))/Parametros!$E$3+VALUE(MID(F62,3,1))/Parametros!$E$4+VALUE(MID(F62,4,1))/Parametros!$E$5)</f>
        <v/>
      </c>
      <c r="J62" s="5">
        <f>IF(G62=0,Parametros!$E$8,Parametros!$E$6+Parametros!$E$6*(Parametros!$E$7/G62+I62)/(Parametros!$E$6+Parametros!$E$7/G62+I62))</f>
        <v/>
      </c>
      <c r="K62" s="2" t="inlineStr">
        <is>
          <t>2026-10-09 12:20</t>
        </is>
      </c>
      <c r="L62" s="7" t="inlineStr">
        <is>
          <t>Patamar baixo de ripple (suspeita DAQ)</t>
        </is>
      </c>
      <c r="M62" s="2">
        <f>IF(L62="Válido","Sim","Não")</f>
        <v/>
      </c>
      <c r="N62" s="2" t="inlineStr">
        <is>
          <t>Ripple x C mediano da config = 577 (esperado ~730 a 80W)</t>
        </is>
      </c>
    </row>
    <row r="63">
      <c r="A63" s="2" t="inlineStr">
        <is>
          <t>2Bracos_2700_R1000_80W_2026-10-09_12_20.csv</t>
        </is>
      </c>
      <c r="B63" s="2" t="inlineStr">
        <is>
          <t>80W_2700RPM_R1000</t>
        </is>
      </c>
      <c r="C63" s="2" t="n">
        <v>80</v>
      </c>
      <c r="D63" s="2" t="n">
        <v>2700</v>
      </c>
      <c r="E63" s="3">
        <f>D63*2/60</f>
        <v/>
      </c>
      <c r="F63" s="2" t="inlineStr">
        <is>
          <t>1000</t>
        </is>
      </c>
      <c r="G63" s="2" t="n">
        <v>2</v>
      </c>
      <c r="H63" s="2">
        <f>INDEX(Parametros!$B$2:$B$9,MATCH(G63,Parametros!$A$2:$A$9,0))</f>
        <v/>
      </c>
      <c r="I63" s="4">
        <f>1/(VALUE(MID(F63,1,1))/Parametros!$E$2+VALUE(MID(F63,2,1))/Parametros!$E$3+VALUE(MID(F63,3,1))/Parametros!$E$4+VALUE(MID(F63,4,1))/Parametros!$E$5)</f>
        <v/>
      </c>
      <c r="J63" s="5">
        <f>IF(G63=0,Parametros!$E$8,Parametros!$E$6+Parametros!$E$6*(Parametros!$E$7/G63+I63)/(Parametros!$E$6+Parametros!$E$7/G63+I63))</f>
        <v/>
      </c>
      <c r="K63" s="2" t="inlineStr">
        <is>
          <t>2026-10-09 12:20</t>
        </is>
      </c>
      <c r="L63" s="7" t="inlineStr">
        <is>
          <t>Patamar baixo de ripple (suspeita DAQ)</t>
        </is>
      </c>
      <c r="M63" s="2">
        <f>IF(L63="Válido","Sim","Não")</f>
        <v/>
      </c>
      <c r="N63" s="2" t="inlineStr">
        <is>
          <t>Ripple x C mediano da config = 577 (esperado ~730 a 80W)</t>
        </is>
      </c>
    </row>
    <row r="64">
      <c r="A64" s="2" t="inlineStr">
        <is>
          <t>1Bracos_2700_R1000_80W_2026-10-09_12_20.csv</t>
        </is>
      </c>
      <c r="B64" s="2" t="inlineStr">
        <is>
          <t>80W_2700RPM_R1000</t>
        </is>
      </c>
      <c r="C64" s="2" t="n">
        <v>80</v>
      </c>
      <c r="D64" s="2" t="n">
        <v>2700</v>
      </c>
      <c r="E64" s="3">
        <f>D64*2/60</f>
        <v/>
      </c>
      <c r="F64" s="2" t="inlineStr">
        <is>
          <t>1000</t>
        </is>
      </c>
      <c r="G64" s="2" t="n">
        <v>1</v>
      </c>
      <c r="H64" s="2">
        <f>INDEX(Parametros!$B$2:$B$9,MATCH(G64,Parametros!$A$2:$A$9,0))</f>
        <v/>
      </c>
      <c r="I64" s="4">
        <f>1/(VALUE(MID(F64,1,1))/Parametros!$E$2+VALUE(MID(F64,2,1))/Parametros!$E$3+VALUE(MID(F64,3,1))/Parametros!$E$4+VALUE(MID(F64,4,1))/Parametros!$E$5)</f>
        <v/>
      </c>
      <c r="J64" s="5">
        <f>IF(G64=0,Parametros!$E$8,Parametros!$E$6+Parametros!$E$6*(Parametros!$E$7/G64+I64)/(Parametros!$E$6+Parametros!$E$7/G64+I64))</f>
        <v/>
      </c>
      <c r="K64" s="2" t="inlineStr">
        <is>
          <t>2026-10-09 12:20</t>
        </is>
      </c>
      <c r="L64" s="7" t="inlineStr">
        <is>
          <t>Patamar baixo de ripple (suspeita DAQ)</t>
        </is>
      </c>
      <c r="M64" s="2">
        <f>IF(L64="Válido","Sim","Não")</f>
        <v/>
      </c>
      <c r="N64" s="2" t="inlineStr">
        <is>
          <t>Ripple x C mediano da config = 577 (esperado ~730 a 80W)</t>
        </is>
      </c>
    </row>
    <row r="65">
      <c r="A65" s="2" t="inlineStr">
        <is>
          <t>0Bracos_2700_R1000_80W_2026-10-09_12_20.csv</t>
        </is>
      </c>
      <c r="B65" s="2" t="inlineStr">
        <is>
          <t>80W_2700RPM_R1000</t>
        </is>
      </c>
      <c r="C65" s="2" t="n">
        <v>80</v>
      </c>
      <c r="D65" s="2" t="n">
        <v>2700</v>
      </c>
      <c r="E65" s="3">
        <f>D65*2/60</f>
        <v/>
      </c>
      <c r="F65" s="2" t="inlineStr">
        <is>
          <t>1000</t>
        </is>
      </c>
      <c r="G65" s="2" t="n">
        <v>0</v>
      </c>
      <c r="H65" s="2">
        <f>INDEX(Parametros!$B$2:$B$9,MATCH(G65,Parametros!$A$2:$A$9,0))</f>
        <v/>
      </c>
      <c r="I65" s="4">
        <f>1/(VALUE(MID(F65,1,1))/Parametros!$E$2+VALUE(MID(F65,2,1))/Parametros!$E$3+VALUE(MID(F65,3,1))/Parametros!$E$4+VALUE(MID(F65,4,1))/Parametros!$E$5)</f>
        <v/>
      </c>
      <c r="J65" s="5">
        <f>IF(G65=0,Parametros!$E$8,Parametros!$E$6+Parametros!$E$6*(Parametros!$E$7/G65+I65)/(Parametros!$E$6+Parametros!$E$7/G65+I65))</f>
        <v/>
      </c>
      <c r="K65" s="2" t="inlineStr">
        <is>
          <t>2026-10-09 12:20</t>
        </is>
      </c>
      <c r="L65" s="7" t="inlineStr">
        <is>
          <t>Patamar baixo de ripple (suspeita DAQ)</t>
        </is>
      </c>
      <c r="M65" s="2">
        <f>IF(L65="Válido","Sim","Não")</f>
        <v/>
      </c>
      <c r="N65" s="2" t="inlineStr">
        <is>
          <t>Ripple x C mediano da config = 577 (esperado ~730 a 80W)</t>
        </is>
      </c>
    </row>
    <row r="66">
      <c r="A66" s="2" t="inlineStr">
        <is>
          <t>7Bracos_2700_R1001_80W_2026-10-09_12_20.csv</t>
        </is>
      </c>
      <c r="B66" s="2" t="inlineStr">
        <is>
          <t>80W_2700RPM_R1001</t>
        </is>
      </c>
      <c r="C66" s="2" t="n">
        <v>80</v>
      </c>
      <c r="D66" s="2" t="n">
        <v>2700</v>
      </c>
      <c r="E66" s="3">
        <f>D66*2/60</f>
        <v/>
      </c>
      <c r="F66" s="2" t="inlineStr">
        <is>
          <t>1001</t>
        </is>
      </c>
      <c r="G66" s="2" t="n">
        <v>7</v>
      </c>
      <c r="H66" s="2">
        <f>INDEX(Parametros!$B$2:$B$9,MATCH(G66,Parametros!$A$2:$A$9,0))</f>
        <v/>
      </c>
      <c r="I66" s="4">
        <f>1/(VALUE(MID(F66,1,1))/Parametros!$E$2+VALUE(MID(F66,2,1))/Parametros!$E$3+VALUE(MID(F66,3,1))/Parametros!$E$4+VALUE(MID(F66,4,1))/Parametros!$E$5)</f>
        <v/>
      </c>
      <c r="J66" s="5">
        <f>IF(G66=0,Parametros!$E$8,Parametros!$E$6+Parametros!$E$6*(Parametros!$E$7/G66+I66)/(Parametros!$E$6+Parametros!$E$7/G66+I66))</f>
        <v/>
      </c>
      <c r="K66" s="2" t="inlineStr">
        <is>
          <t>2026-10-09 12:20</t>
        </is>
      </c>
      <c r="L66" s="7" t="inlineStr">
        <is>
          <t>Patamar baixo de ripple (suspeita DAQ)</t>
        </is>
      </c>
      <c r="M66" s="2">
        <f>IF(L66="Válido","Sim","Não")</f>
        <v/>
      </c>
      <c r="N66" s="2" t="inlineStr">
        <is>
          <t>Ripple x C mediano da config = 514 (esperado ~730 a 80W)</t>
        </is>
      </c>
    </row>
    <row r="67">
      <c r="A67" s="2" t="inlineStr">
        <is>
          <t>6Bracos_2700_R1001_80W_2026-10-09_12_20.csv</t>
        </is>
      </c>
      <c r="B67" s="2" t="inlineStr">
        <is>
          <t>80W_2700RPM_R1001</t>
        </is>
      </c>
      <c r="C67" s="2" t="n">
        <v>80</v>
      </c>
      <c r="D67" s="2" t="n">
        <v>2700</v>
      </c>
      <c r="E67" s="3">
        <f>D67*2/60</f>
        <v/>
      </c>
      <c r="F67" s="2" t="inlineStr">
        <is>
          <t>1001</t>
        </is>
      </c>
      <c r="G67" s="2" t="n">
        <v>6</v>
      </c>
      <c r="H67" s="2">
        <f>INDEX(Parametros!$B$2:$B$9,MATCH(G67,Parametros!$A$2:$A$9,0))</f>
        <v/>
      </c>
      <c r="I67" s="4">
        <f>1/(VALUE(MID(F67,1,1))/Parametros!$E$2+VALUE(MID(F67,2,1))/Parametros!$E$3+VALUE(MID(F67,3,1))/Parametros!$E$4+VALUE(MID(F67,4,1))/Parametros!$E$5)</f>
        <v/>
      </c>
      <c r="J67" s="5">
        <f>IF(G67=0,Parametros!$E$8,Parametros!$E$6+Parametros!$E$6*(Parametros!$E$7/G67+I67)/(Parametros!$E$6+Parametros!$E$7/G67+I67))</f>
        <v/>
      </c>
      <c r="K67" s="2" t="inlineStr">
        <is>
          <t>2026-10-09 12:20</t>
        </is>
      </c>
      <c r="L67" s="7" t="inlineStr">
        <is>
          <t>Patamar baixo de ripple (suspeita DAQ)</t>
        </is>
      </c>
      <c r="M67" s="2">
        <f>IF(L67="Válido","Sim","Não")</f>
        <v/>
      </c>
      <c r="N67" s="2" t="inlineStr">
        <is>
          <t>Ripple x C mediano da config = 514 (esperado ~730 a 80W)</t>
        </is>
      </c>
    </row>
    <row r="68">
      <c r="A68" s="2" t="inlineStr">
        <is>
          <t>5Bracos_2700_R1001_80W_2026-10-09_12_20.csv</t>
        </is>
      </c>
      <c r="B68" s="2" t="inlineStr">
        <is>
          <t>80W_2700RPM_R1001</t>
        </is>
      </c>
      <c r="C68" s="2" t="n">
        <v>80</v>
      </c>
      <c r="D68" s="2" t="n">
        <v>2700</v>
      </c>
      <c r="E68" s="3">
        <f>D68*2/60</f>
        <v/>
      </c>
      <c r="F68" s="2" t="inlineStr">
        <is>
          <t>1001</t>
        </is>
      </c>
      <c r="G68" s="2" t="n">
        <v>5</v>
      </c>
      <c r="H68" s="2">
        <f>INDEX(Parametros!$B$2:$B$9,MATCH(G68,Parametros!$A$2:$A$9,0))</f>
        <v/>
      </c>
      <c r="I68" s="4">
        <f>1/(VALUE(MID(F68,1,1))/Parametros!$E$2+VALUE(MID(F68,2,1))/Parametros!$E$3+VALUE(MID(F68,3,1))/Parametros!$E$4+VALUE(MID(F68,4,1))/Parametros!$E$5)</f>
        <v/>
      </c>
      <c r="J68" s="5">
        <f>IF(G68=0,Parametros!$E$8,Parametros!$E$6+Parametros!$E$6*(Parametros!$E$7/G68+I68)/(Parametros!$E$6+Parametros!$E$7/G68+I68))</f>
        <v/>
      </c>
      <c r="K68" s="2" t="inlineStr">
        <is>
          <t>2026-10-09 12:20</t>
        </is>
      </c>
      <c r="L68" s="7" t="inlineStr">
        <is>
          <t>Patamar baixo de ripple (suspeita DAQ)</t>
        </is>
      </c>
      <c r="M68" s="2">
        <f>IF(L68="Válido","Sim","Não")</f>
        <v/>
      </c>
      <c r="N68" s="2" t="inlineStr">
        <is>
          <t>Ripple x C mediano da config = 514 (esperado ~730 a 80W)</t>
        </is>
      </c>
    </row>
    <row r="69">
      <c r="A69" s="2" t="inlineStr">
        <is>
          <t>4Bracos_2700_R1001_80W_2026-10-09_12_20.csv</t>
        </is>
      </c>
      <c r="B69" s="2" t="inlineStr">
        <is>
          <t>80W_2700RPM_R1001</t>
        </is>
      </c>
      <c r="C69" s="2" t="n">
        <v>80</v>
      </c>
      <c r="D69" s="2" t="n">
        <v>2700</v>
      </c>
      <c r="E69" s="3">
        <f>D69*2/60</f>
        <v/>
      </c>
      <c r="F69" s="2" t="inlineStr">
        <is>
          <t>1001</t>
        </is>
      </c>
      <c r="G69" s="2" t="n">
        <v>4</v>
      </c>
      <c r="H69" s="2">
        <f>INDEX(Parametros!$B$2:$B$9,MATCH(G69,Parametros!$A$2:$A$9,0))</f>
        <v/>
      </c>
      <c r="I69" s="4">
        <f>1/(VALUE(MID(F69,1,1))/Parametros!$E$2+VALUE(MID(F69,2,1))/Parametros!$E$3+VALUE(MID(F69,3,1))/Parametros!$E$4+VALUE(MID(F69,4,1))/Parametros!$E$5)</f>
        <v/>
      </c>
      <c r="J69" s="5">
        <f>IF(G69=0,Parametros!$E$8,Parametros!$E$6+Parametros!$E$6*(Parametros!$E$7/G69+I69)/(Parametros!$E$6+Parametros!$E$7/G69+I69))</f>
        <v/>
      </c>
      <c r="K69" s="2" t="inlineStr">
        <is>
          <t>2026-10-09 12:20</t>
        </is>
      </c>
      <c r="L69" s="7" t="inlineStr">
        <is>
          <t>Patamar baixo de ripple (suspeita DAQ)</t>
        </is>
      </c>
      <c r="M69" s="2">
        <f>IF(L69="Válido","Sim","Não")</f>
        <v/>
      </c>
      <c r="N69" s="2" t="inlineStr">
        <is>
          <t>Ripple x C mediano da config = 514 (esperado ~730 a 80W)</t>
        </is>
      </c>
    </row>
    <row r="70">
      <c r="A70" s="2" t="inlineStr">
        <is>
          <t>3Bracos_2700_R1001_80W_2026-10-09_12_20.csv</t>
        </is>
      </c>
      <c r="B70" s="2" t="inlineStr">
        <is>
          <t>80W_2700RPM_R1001</t>
        </is>
      </c>
      <c r="C70" s="2" t="n">
        <v>80</v>
      </c>
      <c r="D70" s="2" t="n">
        <v>2700</v>
      </c>
      <c r="E70" s="3">
        <f>D70*2/60</f>
        <v/>
      </c>
      <c r="F70" s="2" t="inlineStr">
        <is>
          <t>1001</t>
        </is>
      </c>
      <c r="G70" s="2" t="n">
        <v>3</v>
      </c>
      <c r="H70" s="2">
        <f>INDEX(Parametros!$B$2:$B$9,MATCH(G70,Parametros!$A$2:$A$9,0))</f>
        <v/>
      </c>
      <c r="I70" s="4">
        <f>1/(VALUE(MID(F70,1,1))/Parametros!$E$2+VALUE(MID(F70,2,1))/Parametros!$E$3+VALUE(MID(F70,3,1))/Parametros!$E$4+VALUE(MID(F70,4,1))/Parametros!$E$5)</f>
        <v/>
      </c>
      <c r="J70" s="5">
        <f>IF(G70=0,Parametros!$E$8,Parametros!$E$6+Parametros!$E$6*(Parametros!$E$7/G70+I70)/(Parametros!$E$6+Parametros!$E$7/G70+I70))</f>
        <v/>
      </c>
      <c r="K70" s="2" t="inlineStr">
        <is>
          <t>2026-10-09 12:20</t>
        </is>
      </c>
      <c r="L70" s="7" t="inlineStr">
        <is>
          <t>Patamar baixo de ripple (suspeita DAQ)</t>
        </is>
      </c>
      <c r="M70" s="2">
        <f>IF(L70="Válido","Sim","Não")</f>
        <v/>
      </c>
      <c r="N70" s="2" t="inlineStr">
        <is>
          <t>Ripple x C mediano da config = 514 (esperado ~730 a 80W)</t>
        </is>
      </c>
    </row>
    <row r="71">
      <c r="A71" s="2" t="inlineStr">
        <is>
          <t>2Bracos_2700_R1001_80W_2026-10-09_12_20.csv</t>
        </is>
      </c>
      <c r="B71" s="2" t="inlineStr">
        <is>
          <t>80W_2700RPM_R1001</t>
        </is>
      </c>
      <c r="C71" s="2" t="n">
        <v>80</v>
      </c>
      <c r="D71" s="2" t="n">
        <v>2700</v>
      </c>
      <c r="E71" s="3">
        <f>D71*2/60</f>
        <v/>
      </c>
      <c r="F71" s="2" t="inlineStr">
        <is>
          <t>1001</t>
        </is>
      </c>
      <c r="G71" s="2" t="n">
        <v>2</v>
      </c>
      <c r="H71" s="2">
        <f>INDEX(Parametros!$B$2:$B$9,MATCH(G71,Parametros!$A$2:$A$9,0))</f>
        <v/>
      </c>
      <c r="I71" s="4">
        <f>1/(VALUE(MID(F71,1,1))/Parametros!$E$2+VALUE(MID(F71,2,1))/Parametros!$E$3+VALUE(MID(F71,3,1))/Parametros!$E$4+VALUE(MID(F71,4,1))/Parametros!$E$5)</f>
        <v/>
      </c>
      <c r="J71" s="5">
        <f>IF(G71=0,Parametros!$E$8,Parametros!$E$6+Parametros!$E$6*(Parametros!$E$7/G71+I71)/(Parametros!$E$6+Parametros!$E$7/G71+I71))</f>
        <v/>
      </c>
      <c r="K71" s="2" t="inlineStr">
        <is>
          <t>2026-10-09 12:20</t>
        </is>
      </c>
      <c r="L71" s="7" t="inlineStr">
        <is>
          <t>Patamar baixo de ripple (suspeita DAQ)</t>
        </is>
      </c>
      <c r="M71" s="2">
        <f>IF(L71="Válido","Sim","Não")</f>
        <v/>
      </c>
      <c r="N71" s="2" t="inlineStr">
        <is>
          <t>Ripple x C mediano da config = 514 (esperado ~730 a 80W)</t>
        </is>
      </c>
    </row>
    <row r="72">
      <c r="A72" s="2" t="inlineStr">
        <is>
          <t>1Bracos_2700_R1001_80W_2026-10-09_12_20.csv</t>
        </is>
      </c>
      <c r="B72" s="2" t="inlineStr">
        <is>
          <t>80W_2700RPM_R1001</t>
        </is>
      </c>
      <c r="C72" s="2" t="n">
        <v>80</v>
      </c>
      <c r="D72" s="2" t="n">
        <v>2700</v>
      </c>
      <c r="E72" s="3">
        <f>D72*2/60</f>
        <v/>
      </c>
      <c r="F72" s="2" t="inlineStr">
        <is>
          <t>1001</t>
        </is>
      </c>
      <c r="G72" s="2" t="n">
        <v>1</v>
      </c>
      <c r="H72" s="2">
        <f>INDEX(Parametros!$B$2:$B$9,MATCH(G72,Parametros!$A$2:$A$9,0))</f>
        <v/>
      </c>
      <c r="I72" s="4">
        <f>1/(VALUE(MID(F72,1,1))/Parametros!$E$2+VALUE(MID(F72,2,1))/Parametros!$E$3+VALUE(MID(F72,3,1))/Parametros!$E$4+VALUE(MID(F72,4,1))/Parametros!$E$5)</f>
        <v/>
      </c>
      <c r="J72" s="5">
        <f>IF(G72=0,Parametros!$E$8,Parametros!$E$6+Parametros!$E$6*(Parametros!$E$7/G72+I72)/(Parametros!$E$6+Parametros!$E$7/G72+I72))</f>
        <v/>
      </c>
      <c r="K72" s="2" t="inlineStr">
        <is>
          <t>2026-10-09 12:20</t>
        </is>
      </c>
      <c r="L72" s="7" t="inlineStr">
        <is>
          <t>Patamar baixo de ripple (suspeita DAQ)</t>
        </is>
      </c>
      <c r="M72" s="2">
        <f>IF(L72="Válido","Sim","Não")</f>
        <v/>
      </c>
      <c r="N72" s="2" t="inlineStr">
        <is>
          <t>Ripple x C mediano da config = 514 (esperado ~730 a 80W)</t>
        </is>
      </c>
    </row>
    <row r="73">
      <c r="A73" s="2" t="inlineStr">
        <is>
          <t>0Bracos_2700_R1001_80W_2026-10-09_12_20.csv</t>
        </is>
      </c>
      <c r="B73" s="2" t="inlineStr">
        <is>
          <t>80W_2700RPM_R1001</t>
        </is>
      </c>
      <c r="C73" s="2" t="n">
        <v>80</v>
      </c>
      <c r="D73" s="2" t="n">
        <v>2700</v>
      </c>
      <c r="E73" s="3">
        <f>D73*2/60</f>
        <v/>
      </c>
      <c r="F73" s="2" t="inlineStr">
        <is>
          <t>1001</t>
        </is>
      </c>
      <c r="G73" s="2" t="n">
        <v>0</v>
      </c>
      <c r="H73" s="2">
        <f>INDEX(Parametros!$B$2:$B$9,MATCH(G73,Parametros!$A$2:$A$9,0))</f>
        <v/>
      </c>
      <c r="I73" s="4">
        <f>1/(VALUE(MID(F73,1,1))/Parametros!$E$2+VALUE(MID(F73,2,1))/Parametros!$E$3+VALUE(MID(F73,3,1))/Parametros!$E$4+VALUE(MID(F73,4,1))/Parametros!$E$5)</f>
        <v/>
      </c>
      <c r="J73" s="5">
        <f>IF(G73=0,Parametros!$E$8,Parametros!$E$6+Parametros!$E$6*(Parametros!$E$7/G73+I73)/(Parametros!$E$6+Parametros!$E$7/G73+I73))</f>
        <v/>
      </c>
      <c r="K73" s="2" t="inlineStr">
        <is>
          <t>2026-10-09 12:20</t>
        </is>
      </c>
      <c r="L73" s="7" t="inlineStr">
        <is>
          <t>Patamar baixo de ripple (suspeita DAQ)</t>
        </is>
      </c>
      <c r="M73" s="2">
        <f>IF(L73="Válido","Sim","Não")</f>
        <v/>
      </c>
      <c r="N73" s="2" t="inlineStr">
        <is>
          <t>Ripple x C mediano da config = 514 (esperado ~730 a 80W)</t>
        </is>
      </c>
    </row>
    <row r="74">
      <c r="A74" s="2" t="inlineStr">
        <is>
          <t>7Bracos_2700_R1010_80W_2026-10-09_12_20.csv</t>
        </is>
      </c>
      <c r="B74" s="2" t="inlineStr">
        <is>
          <t>80W_2700RPM_R1010</t>
        </is>
      </c>
      <c r="C74" s="2" t="n">
        <v>80</v>
      </c>
      <c r="D74" s="2" t="n">
        <v>2700</v>
      </c>
      <c r="E74" s="3">
        <f>D74*2/60</f>
        <v/>
      </c>
      <c r="F74" s="2" t="inlineStr">
        <is>
          <t>1010</t>
        </is>
      </c>
      <c r="G74" s="2" t="n">
        <v>7</v>
      </c>
      <c r="H74" s="2">
        <f>INDEX(Parametros!$B$2:$B$9,MATCH(G74,Parametros!$A$2:$A$9,0))</f>
        <v/>
      </c>
      <c r="I74" s="4">
        <f>1/(VALUE(MID(F74,1,1))/Parametros!$E$2+VALUE(MID(F74,2,1))/Parametros!$E$3+VALUE(MID(F74,3,1))/Parametros!$E$4+VALUE(MID(F74,4,1))/Parametros!$E$5)</f>
        <v/>
      </c>
      <c r="J74" s="5">
        <f>IF(G74=0,Parametros!$E$8,Parametros!$E$6+Parametros!$E$6*(Parametros!$E$7/G74+I74)/(Parametros!$E$6+Parametros!$E$7/G74+I74))</f>
        <v/>
      </c>
      <c r="K74" s="2" t="inlineStr">
        <is>
          <t>2026-10-09 12:20</t>
        </is>
      </c>
      <c r="L74" s="7" t="inlineStr">
        <is>
          <t>Patamar baixo de ripple (suspeita DAQ)</t>
        </is>
      </c>
      <c r="M74" s="2">
        <f>IF(L74="Válido","Sim","Não")</f>
        <v/>
      </c>
      <c r="N74" s="2" t="inlineStr">
        <is>
          <t>Ripple x C mediano da config = 521 (esperado ~730 a 80W)</t>
        </is>
      </c>
    </row>
    <row r="75">
      <c r="A75" s="2" t="inlineStr">
        <is>
          <t>6Bracos_2700_R1010_80W_2026-10-09_12_20.csv</t>
        </is>
      </c>
      <c r="B75" s="2" t="inlineStr">
        <is>
          <t>80W_2700RPM_R1010</t>
        </is>
      </c>
      <c r="C75" s="2" t="n">
        <v>80</v>
      </c>
      <c r="D75" s="2" t="n">
        <v>2700</v>
      </c>
      <c r="E75" s="3">
        <f>D75*2/60</f>
        <v/>
      </c>
      <c r="F75" s="2" t="inlineStr">
        <is>
          <t>1010</t>
        </is>
      </c>
      <c r="G75" s="2" t="n">
        <v>6</v>
      </c>
      <c r="H75" s="2">
        <f>INDEX(Parametros!$B$2:$B$9,MATCH(G75,Parametros!$A$2:$A$9,0))</f>
        <v/>
      </c>
      <c r="I75" s="4">
        <f>1/(VALUE(MID(F75,1,1))/Parametros!$E$2+VALUE(MID(F75,2,1))/Parametros!$E$3+VALUE(MID(F75,3,1))/Parametros!$E$4+VALUE(MID(F75,4,1))/Parametros!$E$5)</f>
        <v/>
      </c>
      <c r="J75" s="5">
        <f>IF(G75=0,Parametros!$E$8,Parametros!$E$6+Parametros!$E$6*(Parametros!$E$7/G75+I75)/(Parametros!$E$6+Parametros!$E$7/G75+I75))</f>
        <v/>
      </c>
      <c r="K75" s="2" t="inlineStr">
        <is>
          <t>2026-10-09 12:20</t>
        </is>
      </c>
      <c r="L75" s="7" t="inlineStr">
        <is>
          <t>Patamar baixo de ripple (suspeita DAQ)</t>
        </is>
      </c>
      <c r="M75" s="2">
        <f>IF(L75="Válido","Sim","Não")</f>
        <v/>
      </c>
      <c r="N75" s="2" t="inlineStr">
        <is>
          <t>Ripple x C mediano da config = 521 (esperado ~730 a 80W)</t>
        </is>
      </c>
    </row>
    <row r="76">
      <c r="A76" s="2" t="inlineStr">
        <is>
          <t>5Bracos_2700_R1010_80W_2026-10-09_12_20.csv</t>
        </is>
      </c>
      <c r="B76" s="2" t="inlineStr">
        <is>
          <t>80W_2700RPM_R1010</t>
        </is>
      </c>
      <c r="C76" s="2" t="n">
        <v>80</v>
      </c>
      <c r="D76" s="2" t="n">
        <v>2700</v>
      </c>
      <c r="E76" s="3">
        <f>D76*2/60</f>
        <v/>
      </c>
      <c r="F76" s="2" t="inlineStr">
        <is>
          <t>1010</t>
        </is>
      </c>
      <c r="G76" s="2" t="n">
        <v>5</v>
      </c>
      <c r="H76" s="2">
        <f>INDEX(Parametros!$B$2:$B$9,MATCH(G76,Parametros!$A$2:$A$9,0))</f>
        <v/>
      </c>
      <c r="I76" s="4">
        <f>1/(VALUE(MID(F76,1,1))/Parametros!$E$2+VALUE(MID(F76,2,1))/Parametros!$E$3+VALUE(MID(F76,3,1))/Parametros!$E$4+VALUE(MID(F76,4,1))/Parametros!$E$5)</f>
        <v/>
      </c>
      <c r="J76" s="5">
        <f>IF(G76=0,Parametros!$E$8,Parametros!$E$6+Parametros!$E$6*(Parametros!$E$7/G76+I76)/(Parametros!$E$6+Parametros!$E$7/G76+I76))</f>
        <v/>
      </c>
      <c r="K76" s="2" t="inlineStr">
        <is>
          <t>2026-10-09 12:20</t>
        </is>
      </c>
      <c r="L76" s="7" t="inlineStr">
        <is>
          <t>Patamar baixo de ripple (suspeita DAQ)</t>
        </is>
      </c>
      <c r="M76" s="2">
        <f>IF(L76="Válido","Sim","Não")</f>
        <v/>
      </c>
      <c r="N76" s="2" t="inlineStr">
        <is>
          <t>Ripple x C mediano da config = 521 (esperado ~730 a 80W)</t>
        </is>
      </c>
    </row>
    <row r="77">
      <c r="A77" s="2" t="inlineStr">
        <is>
          <t>4Bracos_2700_R1010_80W_2026-10-09_12_20.csv</t>
        </is>
      </c>
      <c r="B77" s="2" t="inlineStr">
        <is>
          <t>80W_2700RPM_R1010</t>
        </is>
      </c>
      <c r="C77" s="2" t="n">
        <v>80</v>
      </c>
      <c r="D77" s="2" t="n">
        <v>2700</v>
      </c>
      <c r="E77" s="3">
        <f>D77*2/60</f>
        <v/>
      </c>
      <c r="F77" s="2" t="inlineStr">
        <is>
          <t>1010</t>
        </is>
      </c>
      <c r="G77" s="2" t="n">
        <v>4</v>
      </c>
      <c r="H77" s="2">
        <f>INDEX(Parametros!$B$2:$B$9,MATCH(G77,Parametros!$A$2:$A$9,0))</f>
        <v/>
      </c>
      <c r="I77" s="4">
        <f>1/(VALUE(MID(F77,1,1))/Parametros!$E$2+VALUE(MID(F77,2,1))/Parametros!$E$3+VALUE(MID(F77,3,1))/Parametros!$E$4+VALUE(MID(F77,4,1))/Parametros!$E$5)</f>
        <v/>
      </c>
      <c r="J77" s="5">
        <f>IF(G77=0,Parametros!$E$8,Parametros!$E$6+Parametros!$E$6*(Parametros!$E$7/G77+I77)/(Parametros!$E$6+Parametros!$E$7/G77+I77))</f>
        <v/>
      </c>
      <c r="K77" s="2" t="inlineStr">
        <is>
          <t>2026-10-09 12:20</t>
        </is>
      </c>
      <c r="L77" s="7" t="inlineStr">
        <is>
          <t>Patamar baixo de ripple (suspeita DAQ)</t>
        </is>
      </c>
      <c r="M77" s="2">
        <f>IF(L77="Válido","Sim","Não")</f>
        <v/>
      </c>
      <c r="N77" s="2" t="inlineStr">
        <is>
          <t>Ripple x C mediano da config = 521 (esperado ~730 a 80W)</t>
        </is>
      </c>
    </row>
    <row r="78">
      <c r="A78" s="2" t="inlineStr">
        <is>
          <t>3Bracos_2700_R1010_80W_2026-10-09_12_20.csv</t>
        </is>
      </c>
      <c r="B78" s="2" t="inlineStr">
        <is>
          <t>80W_2700RPM_R1010</t>
        </is>
      </c>
      <c r="C78" s="2" t="n">
        <v>80</v>
      </c>
      <c r="D78" s="2" t="n">
        <v>2700</v>
      </c>
      <c r="E78" s="3">
        <f>D78*2/60</f>
        <v/>
      </c>
      <c r="F78" s="2" t="inlineStr">
        <is>
          <t>1010</t>
        </is>
      </c>
      <c r="G78" s="2" t="n">
        <v>3</v>
      </c>
      <c r="H78" s="2">
        <f>INDEX(Parametros!$B$2:$B$9,MATCH(G78,Parametros!$A$2:$A$9,0))</f>
        <v/>
      </c>
      <c r="I78" s="4">
        <f>1/(VALUE(MID(F78,1,1))/Parametros!$E$2+VALUE(MID(F78,2,1))/Parametros!$E$3+VALUE(MID(F78,3,1))/Parametros!$E$4+VALUE(MID(F78,4,1))/Parametros!$E$5)</f>
        <v/>
      </c>
      <c r="J78" s="5">
        <f>IF(G78=0,Parametros!$E$8,Parametros!$E$6+Parametros!$E$6*(Parametros!$E$7/G78+I78)/(Parametros!$E$6+Parametros!$E$7/G78+I78))</f>
        <v/>
      </c>
      <c r="K78" s="2" t="inlineStr">
        <is>
          <t>2026-10-09 12:20</t>
        </is>
      </c>
      <c r="L78" s="7" t="inlineStr">
        <is>
          <t>Patamar baixo de ripple (suspeita DAQ)</t>
        </is>
      </c>
      <c r="M78" s="2">
        <f>IF(L78="Válido","Sim","Não")</f>
        <v/>
      </c>
      <c r="N78" s="2" t="inlineStr">
        <is>
          <t>Ripple x C mediano da config = 521 (esperado ~730 a 80W)</t>
        </is>
      </c>
    </row>
    <row r="79">
      <c r="A79" s="2" t="inlineStr">
        <is>
          <t>2Bracos_2700_R1010_80W_2026-10-09_12_20.csv</t>
        </is>
      </c>
      <c r="B79" s="2" t="inlineStr">
        <is>
          <t>80W_2700RPM_R1010</t>
        </is>
      </c>
      <c r="C79" s="2" t="n">
        <v>80</v>
      </c>
      <c r="D79" s="2" t="n">
        <v>2700</v>
      </c>
      <c r="E79" s="3">
        <f>D79*2/60</f>
        <v/>
      </c>
      <c r="F79" s="2" t="inlineStr">
        <is>
          <t>1010</t>
        </is>
      </c>
      <c r="G79" s="2" t="n">
        <v>2</v>
      </c>
      <c r="H79" s="2">
        <f>INDEX(Parametros!$B$2:$B$9,MATCH(G79,Parametros!$A$2:$A$9,0))</f>
        <v/>
      </c>
      <c r="I79" s="4">
        <f>1/(VALUE(MID(F79,1,1))/Parametros!$E$2+VALUE(MID(F79,2,1))/Parametros!$E$3+VALUE(MID(F79,3,1))/Parametros!$E$4+VALUE(MID(F79,4,1))/Parametros!$E$5)</f>
        <v/>
      </c>
      <c r="J79" s="5">
        <f>IF(G79=0,Parametros!$E$8,Parametros!$E$6+Parametros!$E$6*(Parametros!$E$7/G79+I79)/(Parametros!$E$6+Parametros!$E$7/G79+I79))</f>
        <v/>
      </c>
      <c r="K79" s="2" t="inlineStr">
        <is>
          <t>2026-10-09 12:20</t>
        </is>
      </c>
      <c r="L79" s="7" t="inlineStr">
        <is>
          <t>Patamar baixo de ripple (suspeita DAQ)</t>
        </is>
      </c>
      <c r="M79" s="2">
        <f>IF(L79="Válido","Sim","Não")</f>
        <v/>
      </c>
      <c r="N79" s="2" t="inlineStr">
        <is>
          <t>Ripple x C mediano da config = 521 (esperado ~730 a 80W)</t>
        </is>
      </c>
    </row>
    <row r="80">
      <c r="A80" s="2" t="inlineStr">
        <is>
          <t>1Bracos_2700_R1010_80W_2026-10-09_12_20.csv</t>
        </is>
      </c>
      <c r="B80" s="2" t="inlineStr">
        <is>
          <t>80W_2700RPM_R1010</t>
        </is>
      </c>
      <c r="C80" s="2" t="n">
        <v>80</v>
      </c>
      <c r="D80" s="2" t="n">
        <v>2700</v>
      </c>
      <c r="E80" s="3">
        <f>D80*2/60</f>
        <v/>
      </c>
      <c r="F80" s="2" t="inlineStr">
        <is>
          <t>1010</t>
        </is>
      </c>
      <c r="G80" s="2" t="n">
        <v>1</v>
      </c>
      <c r="H80" s="2">
        <f>INDEX(Parametros!$B$2:$B$9,MATCH(G80,Parametros!$A$2:$A$9,0))</f>
        <v/>
      </c>
      <c r="I80" s="4">
        <f>1/(VALUE(MID(F80,1,1))/Parametros!$E$2+VALUE(MID(F80,2,1))/Parametros!$E$3+VALUE(MID(F80,3,1))/Parametros!$E$4+VALUE(MID(F80,4,1))/Parametros!$E$5)</f>
        <v/>
      </c>
      <c r="J80" s="5">
        <f>IF(G80=0,Parametros!$E$8,Parametros!$E$6+Parametros!$E$6*(Parametros!$E$7/G80+I80)/(Parametros!$E$6+Parametros!$E$7/G80+I80))</f>
        <v/>
      </c>
      <c r="K80" s="2" t="inlineStr">
        <is>
          <t>2026-10-09 12:20</t>
        </is>
      </c>
      <c r="L80" s="7" t="inlineStr">
        <is>
          <t>Patamar baixo de ripple (suspeita DAQ)</t>
        </is>
      </c>
      <c r="M80" s="2">
        <f>IF(L80="Válido","Sim","Não")</f>
        <v/>
      </c>
      <c r="N80" s="2" t="inlineStr">
        <is>
          <t>Ripple x C mediano da config = 521 (esperado ~730 a 80W)</t>
        </is>
      </c>
    </row>
    <row r="81">
      <c r="A81" s="2" t="inlineStr">
        <is>
          <t>0Bracos_2700_R1010_80W_2026-10-09_12_20.csv</t>
        </is>
      </c>
      <c r="B81" s="2" t="inlineStr">
        <is>
          <t>80W_2700RPM_R1010</t>
        </is>
      </c>
      <c r="C81" s="2" t="n">
        <v>80</v>
      </c>
      <c r="D81" s="2" t="n">
        <v>2700</v>
      </c>
      <c r="E81" s="3">
        <f>D81*2/60</f>
        <v/>
      </c>
      <c r="F81" s="2" t="inlineStr">
        <is>
          <t>1010</t>
        </is>
      </c>
      <c r="G81" s="2" t="n">
        <v>0</v>
      </c>
      <c r="H81" s="2">
        <f>INDEX(Parametros!$B$2:$B$9,MATCH(G81,Parametros!$A$2:$A$9,0))</f>
        <v/>
      </c>
      <c r="I81" s="4">
        <f>1/(VALUE(MID(F81,1,1))/Parametros!$E$2+VALUE(MID(F81,2,1))/Parametros!$E$3+VALUE(MID(F81,3,1))/Parametros!$E$4+VALUE(MID(F81,4,1))/Parametros!$E$5)</f>
        <v/>
      </c>
      <c r="J81" s="5">
        <f>IF(G81=0,Parametros!$E$8,Parametros!$E$6+Parametros!$E$6*(Parametros!$E$7/G81+I81)/(Parametros!$E$6+Parametros!$E$7/G81+I81))</f>
        <v/>
      </c>
      <c r="K81" s="2" t="inlineStr">
        <is>
          <t>2026-10-09 12:20</t>
        </is>
      </c>
      <c r="L81" s="7" t="inlineStr">
        <is>
          <t>Patamar baixo de ripple (suspeita DAQ)</t>
        </is>
      </c>
      <c r="M81" s="2">
        <f>IF(L81="Válido","Sim","Não")</f>
        <v/>
      </c>
      <c r="N81" s="2" t="inlineStr">
        <is>
          <t>Ripple x C mediano da config = 521 (esperado ~730 a 80W)</t>
        </is>
      </c>
    </row>
    <row r="82">
      <c r="A82" s="2" t="inlineStr">
        <is>
          <t>7Bracos_2700_R1011_80W_2026-10-09_12_20.csv</t>
        </is>
      </c>
      <c r="B82" s="2" t="inlineStr">
        <is>
          <t>80W_2700RPM_R1011</t>
        </is>
      </c>
      <c r="C82" s="2" t="n">
        <v>80</v>
      </c>
      <c r="D82" s="2" t="n">
        <v>2700</v>
      </c>
      <c r="E82" s="3">
        <f>D82*2/60</f>
        <v/>
      </c>
      <c r="F82" s="2" t="inlineStr">
        <is>
          <t>1011</t>
        </is>
      </c>
      <c r="G82" s="2" t="n">
        <v>7</v>
      </c>
      <c r="H82" s="2">
        <f>INDEX(Parametros!$B$2:$B$9,MATCH(G82,Parametros!$A$2:$A$9,0))</f>
        <v/>
      </c>
      <c r="I82" s="4">
        <f>1/(VALUE(MID(F82,1,1))/Parametros!$E$2+VALUE(MID(F82,2,1))/Parametros!$E$3+VALUE(MID(F82,3,1))/Parametros!$E$4+VALUE(MID(F82,4,1))/Parametros!$E$5)</f>
        <v/>
      </c>
      <c r="J82" s="5">
        <f>IF(G82=0,Parametros!$E$8,Parametros!$E$6+Parametros!$E$6*(Parametros!$E$7/G82+I82)/(Parametros!$E$6+Parametros!$E$7/G82+I82))</f>
        <v/>
      </c>
      <c r="K82" s="2" t="inlineStr">
        <is>
          <t>2026-10-09 12:20</t>
        </is>
      </c>
      <c r="L82" s="7" t="inlineStr">
        <is>
          <t>Patamar baixo de ripple (suspeita DAQ)</t>
        </is>
      </c>
      <c r="M82" s="2">
        <f>IF(L82="Válido","Sim","Não")</f>
        <v/>
      </c>
      <c r="N82" s="2" t="inlineStr">
        <is>
          <t>Ripple x C mediano da config = 519 (esperado ~730 a 80W)</t>
        </is>
      </c>
    </row>
    <row r="83">
      <c r="A83" s="2" t="inlineStr">
        <is>
          <t>6Bracos_2700_R1011_80W_2026-10-09_12_20.csv</t>
        </is>
      </c>
      <c r="B83" s="2" t="inlineStr">
        <is>
          <t>80W_2700RPM_R1011</t>
        </is>
      </c>
      <c r="C83" s="2" t="n">
        <v>80</v>
      </c>
      <c r="D83" s="2" t="n">
        <v>2700</v>
      </c>
      <c r="E83" s="3">
        <f>D83*2/60</f>
        <v/>
      </c>
      <c r="F83" s="2" t="inlineStr">
        <is>
          <t>1011</t>
        </is>
      </c>
      <c r="G83" s="2" t="n">
        <v>6</v>
      </c>
      <c r="H83" s="2">
        <f>INDEX(Parametros!$B$2:$B$9,MATCH(G83,Parametros!$A$2:$A$9,0))</f>
        <v/>
      </c>
      <c r="I83" s="4">
        <f>1/(VALUE(MID(F83,1,1))/Parametros!$E$2+VALUE(MID(F83,2,1))/Parametros!$E$3+VALUE(MID(F83,3,1))/Parametros!$E$4+VALUE(MID(F83,4,1))/Parametros!$E$5)</f>
        <v/>
      </c>
      <c r="J83" s="5">
        <f>IF(G83=0,Parametros!$E$8,Parametros!$E$6+Parametros!$E$6*(Parametros!$E$7/G83+I83)/(Parametros!$E$6+Parametros!$E$7/G83+I83))</f>
        <v/>
      </c>
      <c r="K83" s="2" t="inlineStr">
        <is>
          <t>2026-10-09 12:20</t>
        </is>
      </c>
      <c r="L83" s="7" t="inlineStr">
        <is>
          <t>Patamar baixo de ripple (suspeita DAQ)</t>
        </is>
      </c>
      <c r="M83" s="2">
        <f>IF(L83="Válido","Sim","Não")</f>
        <v/>
      </c>
      <c r="N83" s="2" t="inlineStr">
        <is>
          <t>Ripple x C mediano da config = 519 (esperado ~730 a 80W)</t>
        </is>
      </c>
    </row>
    <row r="84">
      <c r="A84" s="2" t="inlineStr">
        <is>
          <t>5Bracos_2700_R1011_80W_2026-10-09_12_20.csv</t>
        </is>
      </c>
      <c r="B84" s="2" t="inlineStr">
        <is>
          <t>80W_2700RPM_R1011</t>
        </is>
      </c>
      <c r="C84" s="2" t="n">
        <v>80</v>
      </c>
      <c r="D84" s="2" t="n">
        <v>2700</v>
      </c>
      <c r="E84" s="3">
        <f>D84*2/60</f>
        <v/>
      </c>
      <c r="F84" s="2" t="inlineStr">
        <is>
          <t>1011</t>
        </is>
      </c>
      <c r="G84" s="2" t="n">
        <v>5</v>
      </c>
      <c r="H84" s="2">
        <f>INDEX(Parametros!$B$2:$B$9,MATCH(G84,Parametros!$A$2:$A$9,0))</f>
        <v/>
      </c>
      <c r="I84" s="4">
        <f>1/(VALUE(MID(F84,1,1))/Parametros!$E$2+VALUE(MID(F84,2,1))/Parametros!$E$3+VALUE(MID(F84,3,1))/Parametros!$E$4+VALUE(MID(F84,4,1))/Parametros!$E$5)</f>
        <v/>
      </c>
      <c r="J84" s="5">
        <f>IF(G84=0,Parametros!$E$8,Parametros!$E$6+Parametros!$E$6*(Parametros!$E$7/G84+I84)/(Parametros!$E$6+Parametros!$E$7/G84+I84))</f>
        <v/>
      </c>
      <c r="K84" s="2" t="inlineStr">
        <is>
          <t>2026-10-09 12:20</t>
        </is>
      </c>
      <c r="L84" s="7" t="inlineStr">
        <is>
          <t>Patamar baixo de ripple (suspeita DAQ)</t>
        </is>
      </c>
      <c r="M84" s="2">
        <f>IF(L84="Válido","Sim","Não")</f>
        <v/>
      </c>
      <c r="N84" s="2" t="inlineStr">
        <is>
          <t>Ripple x C mediano da config = 519 (esperado ~730 a 80W)</t>
        </is>
      </c>
    </row>
    <row r="85">
      <c r="A85" s="2" t="inlineStr">
        <is>
          <t>4Bracos_2700_R1011_80W_2026-10-09_12_20.csv</t>
        </is>
      </c>
      <c r="B85" s="2" t="inlineStr">
        <is>
          <t>80W_2700RPM_R1011</t>
        </is>
      </c>
      <c r="C85" s="2" t="n">
        <v>80</v>
      </c>
      <c r="D85" s="2" t="n">
        <v>2700</v>
      </c>
      <c r="E85" s="3">
        <f>D85*2/60</f>
        <v/>
      </c>
      <c r="F85" s="2" t="inlineStr">
        <is>
          <t>1011</t>
        </is>
      </c>
      <c r="G85" s="2" t="n">
        <v>4</v>
      </c>
      <c r="H85" s="2">
        <f>INDEX(Parametros!$B$2:$B$9,MATCH(G85,Parametros!$A$2:$A$9,0))</f>
        <v/>
      </c>
      <c r="I85" s="4">
        <f>1/(VALUE(MID(F85,1,1))/Parametros!$E$2+VALUE(MID(F85,2,1))/Parametros!$E$3+VALUE(MID(F85,3,1))/Parametros!$E$4+VALUE(MID(F85,4,1))/Parametros!$E$5)</f>
        <v/>
      </c>
      <c r="J85" s="5">
        <f>IF(G85=0,Parametros!$E$8,Parametros!$E$6+Parametros!$E$6*(Parametros!$E$7/G85+I85)/(Parametros!$E$6+Parametros!$E$7/G85+I85))</f>
        <v/>
      </c>
      <c r="K85" s="2" t="inlineStr">
        <is>
          <t>2026-10-09 12:20</t>
        </is>
      </c>
      <c r="L85" s="7" t="inlineStr">
        <is>
          <t>Patamar baixo de ripple (suspeita DAQ)</t>
        </is>
      </c>
      <c r="M85" s="2">
        <f>IF(L85="Válido","Sim","Não")</f>
        <v/>
      </c>
      <c r="N85" s="2" t="inlineStr">
        <is>
          <t>Ripple x C mediano da config = 519 (esperado ~730 a 80W)</t>
        </is>
      </c>
    </row>
    <row r="86">
      <c r="A86" s="2" t="inlineStr">
        <is>
          <t>3Bracos_2700_R1011_80W_2026-10-09_12_20.csv</t>
        </is>
      </c>
      <c r="B86" s="2" t="inlineStr">
        <is>
          <t>80W_2700RPM_R1011</t>
        </is>
      </c>
      <c r="C86" s="2" t="n">
        <v>80</v>
      </c>
      <c r="D86" s="2" t="n">
        <v>2700</v>
      </c>
      <c r="E86" s="3">
        <f>D86*2/60</f>
        <v/>
      </c>
      <c r="F86" s="2" t="inlineStr">
        <is>
          <t>1011</t>
        </is>
      </c>
      <c r="G86" s="2" t="n">
        <v>3</v>
      </c>
      <c r="H86" s="2">
        <f>INDEX(Parametros!$B$2:$B$9,MATCH(G86,Parametros!$A$2:$A$9,0))</f>
        <v/>
      </c>
      <c r="I86" s="4">
        <f>1/(VALUE(MID(F86,1,1))/Parametros!$E$2+VALUE(MID(F86,2,1))/Parametros!$E$3+VALUE(MID(F86,3,1))/Parametros!$E$4+VALUE(MID(F86,4,1))/Parametros!$E$5)</f>
        <v/>
      </c>
      <c r="J86" s="5">
        <f>IF(G86=0,Parametros!$E$8,Parametros!$E$6+Parametros!$E$6*(Parametros!$E$7/G86+I86)/(Parametros!$E$6+Parametros!$E$7/G86+I86))</f>
        <v/>
      </c>
      <c r="K86" s="2" t="inlineStr">
        <is>
          <t>2026-10-09 12:20</t>
        </is>
      </c>
      <c r="L86" s="7" t="inlineStr">
        <is>
          <t>Patamar baixo de ripple (suspeita DAQ)</t>
        </is>
      </c>
      <c r="M86" s="2">
        <f>IF(L86="Válido","Sim","Não")</f>
        <v/>
      </c>
      <c r="N86" s="2" t="inlineStr">
        <is>
          <t>Ripple x C mediano da config = 519 (esperado ~730 a 80W)</t>
        </is>
      </c>
    </row>
    <row r="87">
      <c r="A87" s="2" t="inlineStr">
        <is>
          <t>2Bracos_2700_R1011_80W_2026-10-09_12_20.csv</t>
        </is>
      </c>
      <c r="B87" s="2" t="inlineStr">
        <is>
          <t>80W_2700RPM_R1011</t>
        </is>
      </c>
      <c r="C87" s="2" t="n">
        <v>80</v>
      </c>
      <c r="D87" s="2" t="n">
        <v>2700</v>
      </c>
      <c r="E87" s="3">
        <f>D87*2/60</f>
        <v/>
      </c>
      <c r="F87" s="2" t="inlineStr">
        <is>
          <t>1011</t>
        </is>
      </c>
      <c r="G87" s="2" t="n">
        <v>2</v>
      </c>
      <c r="H87" s="2">
        <f>INDEX(Parametros!$B$2:$B$9,MATCH(G87,Parametros!$A$2:$A$9,0))</f>
        <v/>
      </c>
      <c r="I87" s="4">
        <f>1/(VALUE(MID(F87,1,1))/Parametros!$E$2+VALUE(MID(F87,2,1))/Parametros!$E$3+VALUE(MID(F87,3,1))/Parametros!$E$4+VALUE(MID(F87,4,1))/Parametros!$E$5)</f>
        <v/>
      </c>
      <c r="J87" s="5">
        <f>IF(G87=0,Parametros!$E$8,Parametros!$E$6+Parametros!$E$6*(Parametros!$E$7/G87+I87)/(Parametros!$E$6+Parametros!$E$7/G87+I87))</f>
        <v/>
      </c>
      <c r="K87" s="2" t="inlineStr">
        <is>
          <t>2026-10-09 12:20</t>
        </is>
      </c>
      <c r="L87" s="7" t="inlineStr">
        <is>
          <t>Patamar baixo de ripple (suspeita DAQ)</t>
        </is>
      </c>
      <c r="M87" s="2">
        <f>IF(L87="Válido","Sim","Não")</f>
        <v/>
      </c>
      <c r="N87" s="2" t="inlineStr">
        <is>
          <t>Ripple x C mediano da config = 519 (esperado ~730 a 80W)</t>
        </is>
      </c>
    </row>
    <row r="88">
      <c r="A88" s="2" t="inlineStr">
        <is>
          <t>1Bracos_2700_R1011_80W_2026-10-09_12_20.csv</t>
        </is>
      </c>
      <c r="B88" s="2" t="inlineStr">
        <is>
          <t>80W_2700RPM_R1011</t>
        </is>
      </c>
      <c r="C88" s="2" t="n">
        <v>80</v>
      </c>
      <c r="D88" s="2" t="n">
        <v>2700</v>
      </c>
      <c r="E88" s="3">
        <f>D88*2/60</f>
        <v/>
      </c>
      <c r="F88" s="2" t="inlineStr">
        <is>
          <t>1011</t>
        </is>
      </c>
      <c r="G88" s="2" t="n">
        <v>1</v>
      </c>
      <c r="H88" s="2">
        <f>INDEX(Parametros!$B$2:$B$9,MATCH(G88,Parametros!$A$2:$A$9,0))</f>
        <v/>
      </c>
      <c r="I88" s="4">
        <f>1/(VALUE(MID(F88,1,1))/Parametros!$E$2+VALUE(MID(F88,2,1))/Parametros!$E$3+VALUE(MID(F88,3,1))/Parametros!$E$4+VALUE(MID(F88,4,1))/Parametros!$E$5)</f>
        <v/>
      </c>
      <c r="J88" s="5">
        <f>IF(G88=0,Parametros!$E$8,Parametros!$E$6+Parametros!$E$6*(Parametros!$E$7/G88+I88)/(Parametros!$E$6+Parametros!$E$7/G88+I88))</f>
        <v/>
      </c>
      <c r="K88" s="2" t="inlineStr">
        <is>
          <t>2026-10-09 12:20</t>
        </is>
      </c>
      <c r="L88" s="7" t="inlineStr">
        <is>
          <t>Patamar baixo de ripple (suspeita DAQ)</t>
        </is>
      </c>
      <c r="M88" s="2">
        <f>IF(L88="Válido","Sim","Não")</f>
        <v/>
      </c>
      <c r="N88" s="2" t="inlineStr">
        <is>
          <t>Ripple x C mediano da config = 519 (esperado ~730 a 80W)</t>
        </is>
      </c>
    </row>
    <row r="89">
      <c r="A89" s="2" t="inlineStr">
        <is>
          <t>0Bracos_2700_R1011_80W_2026-10-09_12_20.csv</t>
        </is>
      </c>
      <c r="B89" s="2" t="inlineStr">
        <is>
          <t>80W_2700RPM_R1011</t>
        </is>
      </c>
      <c r="C89" s="2" t="n">
        <v>80</v>
      </c>
      <c r="D89" s="2" t="n">
        <v>2700</v>
      </c>
      <c r="E89" s="3">
        <f>D89*2/60</f>
        <v/>
      </c>
      <c r="F89" s="2" t="inlineStr">
        <is>
          <t>1011</t>
        </is>
      </c>
      <c r="G89" s="2" t="n">
        <v>0</v>
      </c>
      <c r="H89" s="2">
        <f>INDEX(Parametros!$B$2:$B$9,MATCH(G89,Parametros!$A$2:$A$9,0))</f>
        <v/>
      </c>
      <c r="I89" s="4">
        <f>1/(VALUE(MID(F89,1,1))/Parametros!$E$2+VALUE(MID(F89,2,1))/Parametros!$E$3+VALUE(MID(F89,3,1))/Parametros!$E$4+VALUE(MID(F89,4,1))/Parametros!$E$5)</f>
        <v/>
      </c>
      <c r="J89" s="5">
        <f>IF(G89=0,Parametros!$E$8,Parametros!$E$6+Parametros!$E$6*(Parametros!$E$7/G89+I89)/(Parametros!$E$6+Parametros!$E$7/G89+I89))</f>
        <v/>
      </c>
      <c r="K89" s="2" t="inlineStr">
        <is>
          <t>2026-10-09 12:20</t>
        </is>
      </c>
      <c r="L89" s="7" t="inlineStr">
        <is>
          <t>Patamar baixo de ripple (suspeita DAQ)</t>
        </is>
      </c>
      <c r="M89" s="2">
        <f>IF(L89="Válido","Sim","Não")</f>
        <v/>
      </c>
      <c r="N89" s="2" t="inlineStr">
        <is>
          <t>Ripple x C mediano da config = 519 (esperado ~730 a 80W)</t>
        </is>
      </c>
    </row>
    <row r="90">
      <c r="A90" s="2" t="inlineStr">
        <is>
          <t>7Bracos_2700_R1100_80W_2026-10-09_12_20.csv</t>
        </is>
      </c>
      <c r="B90" s="2" t="inlineStr">
        <is>
          <t>80W_2700RPM_R1100</t>
        </is>
      </c>
      <c r="C90" s="2" t="n">
        <v>80</v>
      </c>
      <c r="D90" s="2" t="n">
        <v>2700</v>
      </c>
      <c r="E90" s="3">
        <f>D90*2/60</f>
        <v/>
      </c>
      <c r="F90" s="2" t="inlineStr">
        <is>
          <t>1100</t>
        </is>
      </c>
      <c r="G90" s="2" t="n">
        <v>7</v>
      </c>
      <c r="H90" s="2">
        <f>INDEX(Parametros!$B$2:$B$9,MATCH(G90,Parametros!$A$2:$A$9,0))</f>
        <v/>
      </c>
      <c r="I90" s="4">
        <f>1/(VALUE(MID(F90,1,1))/Parametros!$E$2+VALUE(MID(F90,2,1))/Parametros!$E$3+VALUE(MID(F90,3,1))/Parametros!$E$4+VALUE(MID(F90,4,1))/Parametros!$E$5)</f>
        <v/>
      </c>
      <c r="J90" s="5">
        <f>IF(G90=0,Parametros!$E$8,Parametros!$E$6+Parametros!$E$6*(Parametros!$E$7/G90+I90)/(Parametros!$E$6+Parametros!$E$7/G90+I90))</f>
        <v/>
      </c>
      <c r="K90" s="2" t="inlineStr">
        <is>
          <t>2026-10-09 12:20</t>
        </is>
      </c>
      <c r="L90" s="7" t="inlineStr">
        <is>
          <t>Patamar baixo de ripple (suspeita DAQ)</t>
        </is>
      </c>
      <c r="M90" s="2">
        <f>IF(L90="Válido","Sim","Não")</f>
        <v/>
      </c>
      <c r="N90" s="2" t="inlineStr">
        <is>
          <t>Ripple x C mediano da config = 589 (esperado ~730 a 80W)</t>
        </is>
      </c>
    </row>
    <row r="91">
      <c r="A91" s="2" t="inlineStr">
        <is>
          <t>6Bracos_2700_R1100_80W_2026-10-09_12_20.csv</t>
        </is>
      </c>
      <c r="B91" s="2" t="inlineStr">
        <is>
          <t>80W_2700RPM_R1100</t>
        </is>
      </c>
      <c r="C91" s="2" t="n">
        <v>80</v>
      </c>
      <c r="D91" s="2" t="n">
        <v>2700</v>
      </c>
      <c r="E91" s="3">
        <f>D91*2/60</f>
        <v/>
      </c>
      <c r="F91" s="2" t="inlineStr">
        <is>
          <t>1100</t>
        </is>
      </c>
      <c r="G91" s="2" t="n">
        <v>6</v>
      </c>
      <c r="H91" s="2">
        <f>INDEX(Parametros!$B$2:$B$9,MATCH(G91,Parametros!$A$2:$A$9,0))</f>
        <v/>
      </c>
      <c r="I91" s="4">
        <f>1/(VALUE(MID(F91,1,1))/Parametros!$E$2+VALUE(MID(F91,2,1))/Parametros!$E$3+VALUE(MID(F91,3,1))/Parametros!$E$4+VALUE(MID(F91,4,1))/Parametros!$E$5)</f>
        <v/>
      </c>
      <c r="J91" s="5">
        <f>IF(G91=0,Parametros!$E$8,Parametros!$E$6+Parametros!$E$6*(Parametros!$E$7/G91+I91)/(Parametros!$E$6+Parametros!$E$7/G91+I91))</f>
        <v/>
      </c>
      <c r="K91" s="2" t="inlineStr">
        <is>
          <t>2026-10-09 12:20</t>
        </is>
      </c>
      <c r="L91" s="7" t="inlineStr">
        <is>
          <t>Patamar baixo de ripple (suspeita DAQ)</t>
        </is>
      </c>
      <c r="M91" s="2">
        <f>IF(L91="Válido","Sim","Não")</f>
        <v/>
      </c>
      <c r="N91" s="2" t="inlineStr">
        <is>
          <t>Ripple x C mediano da config = 589 (esperado ~730 a 80W)</t>
        </is>
      </c>
    </row>
    <row r="92">
      <c r="A92" s="2" t="inlineStr">
        <is>
          <t>5Bracos_2700_R1100_80W_2026-10-09_12_20.csv</t>
        </is>
      </c>
      <c r="B92" s="2" t="inlineStr">
        <is>
          <t>80W_2700RPM_R1100</t>
        </is>
      </c>
      <c r="C92" s="2" t="n">
        <v>80</v>
      </c>
      <c r="D92" s="2" t="n">
        <v>2700</v>
      </c>
      <c r="E92" s="3">
        <f>D92*2/60</f>
        <v/>
      </c>
      <c r="F92" s="2" t="inlineStr">
        <is>
          <t>1100</t>
        </is>
      </c>
      <c r="G92" s="2" t="n">
        <v>5</v>
      </c>
      <c r="H92" s="2">
        <f>INDEX(Parametros!$B$2:$B$9,MATCH(G92,Parametros!$A$2:$A$9,0))</f>
        <v/>
      </c>
      <c r="I92" s="4">
        <f>1/(VALUE(MID(F92,1,1))/Parametros!$E$2+VALUE(MID(F92,2,1))/Parametros!$E$3+VALUE(MID(F92,3,1))/Parametros!$E$4+VALUE(MID(F92,4,1))/Parametros!$E$5)</f>
        <v/>
      </c>
      <c r="J92" s="5">
        <f>IF(G92=0,Parametros!$E$8,Parametros!$E$6+Parametros!$E$6*(Parametros!$E$7/G92+I92)/(Parametros!$E$6+Parametros!$E$7/G92+I92))</f>
        <v/>
      </c>
      <c r="K92" s="2" t="inlineStr">
        <is>
          <t>2026-10-09 12:20</t>
        </is>
      </c>
      <c r="L92" s="7" t="inlineStr">
        <is>
          <t>Patamar baixo de ripple (suspeita DAQ)</t>
        </is>
      </c>
      <c r="M92" s="2">
        <f>IF(L92="Válido","Sim","Não")</f>
        <v/>
      </c>
      <c r="N92" s="2" t="inlineStr">
        <is>
          <t>Ripple x C mediano da config = 589 (esperado ~730 a 80W)</t>
        </is>
      </c>
    </row>
    <row r="93">
      <c r="A93" s="2" t="inlineStr">
        <is>
          <t>4Bracos_2700_R1100_80W_2026-10-09_12_20.csv</t>
        </is>
      </c>
      <c r="B93" s="2" t="inlineStr">
        <is>
          <t>80W_2700RPM_R1100</t>
        </is>
      </c>
      <c r="C93" s="2" t="n">
        <v>80</v>
      </c>
      <c r="D93" s="2" t="n">
        <v>2700</v>
      </c>
      <c r="E93" s="3">
        <f>D93*2/60</f>
        <v/>
      </c>
      <c r="F93" s="2" t="inlineStr">
        <is>
          <t>1100</t>
        </is>
      </c>
      <c r="G93" s="2" t="n">
        <v>4</v>
      </c>
      <c r="H93" s="2">
        <f>INDEX(Parametros!$B$2:$B$9,MATCH(G93,Parametros!$A$2:$A$9,0))</f>
        <v/>
      </c>
      <c r="I93" s="4">
        <f>1/(VALUE(MID(F93,1,1))/Parametros!$E$2+VALUE(MID(F93,2,1))/Parametros!$E$3+VALUE(MID(F93,3,1))/Parametros!$E$4+VALUE(MID(F93,4,1))/Parametros!$E$5)</f>
        <v/>
      </c>
      <c r="J93" s="5">
        <f>IF(G93=0,Parametros!$E$8,Parametros!$E$6+Parametros!$E$6*(Parametros!$E$7/G93+I93)/(Parametros!$E$6+Parametros!$E$7/G93+I93))</f>
        <v/>
      </c>
      <c r="K93" s="2" t="inlineStr">
        <is>
          <t>2026-10-09 12:20</t>
        </is>
      </c>
      <c r="L93" s="7" t="inlineStr">
        <is>
          <t>Patamar baixo de ripple (suspeita DAQ)</t>
        </is>
      </c>
      <c r="M93" s="2">
        <f>IF(L93="Válido","Sim","Não")</f>
        <v/>
      </c>
      <c r="N93" s="2" t="inlineStr">
        <is>
          <t>Ripple x C mediano da config = 589 (esperado ~730 a 80W)</t>
        </is>
      </c>
    </row>
    <row r="94">
      <c r="A94" s="2" t="inlineStr">
        <is>
          <t>3Bracos_2700_R1100_80W_2026-10-09_12_20.csv</t>
        </is>
      </c>
      <c r="B94" s="2" t="inlineStr">
        <is>
          <t>80W_2700RPM_R1100</t>
        </is>
      </c>
      <c r="C94" s="2" t="n">
        <v>80</v>
      </c>
      <c r="D94" s="2" t="n">
        <v>2700</v>
      </c>
      <c r="E94" s="3">
        <f>D94*2/60</f>
        <v/>
      </c>
      <c r="F94" s="2" t="inlineStr">
        <is>
          <t>1100</t>
        </is>
      </c>
      <c r="G94" s="2" t="n">
        <v>3</v>
      </c>
      <c r="H94" s="2">
        <f>INDEX(Parametros!$B$2:$B$9,MATCH(G94,Parametros!$A$2:$A$9,0))</f>
        <v/>
      </c>
      <c r="I94" s="4">
        <f>1/(VALUE(MID(F94,1,1))/Parametros!$E$2+VALUE(MID(F94,2,1))/Parametros!$E$3+VALUE(MID(F94,3,1))/Parametros!$E$4+VALUE(MID(F94,4,1))/Parametros!$E$5)</f>
        <v/>
      </c>
      <c r="J94" s="5">
        <f>IF(G94=0,Parametros!$E$8,Parametros!$E$6+Parametros!$E$6*(Parametros!$E$7/G94+I94)/(Parametros!$E$6+Parametros!$E$7/G94+I94))</f>
        <v/>
      </c>
      <c r="K94" s="2" t="inlineStr">
        <is>
          <t>2026-10-09 12:20</t>
        </is>
      </c>
      <c r="L94" s="7" t="inlineStr">
        <is>
          <t>Patamar baixo de ripple (suspeita DAQ)</t>
        </is>
      </c>
      <c r="M94" s="2">
        <f>IF(L94="Válido","Sim","Não")</f>
        <v/>
      </c>
      <c r="N94" s="2" t="inlineStr">
        <is>
          <t>Ripple x C mediano da config = 589 (esperado ~730 a 80W)</t>
        </is>
      </c>
    </row>
    <row r="95">
      <c r="A95" s="2" t="inlineStr">
        <is>
          <t>2Bracos_2700_R1100_80W_2026-10-09_12_20.csv</t>
        </is>
      </c>
      <c r="B95" s="2" t="inlineStr">
        <is>
          <t>80W_2700RPM_R1100</t>
        </is>
      </c>
      <c r="C95" s="2" t="n">
        <v>80</v>
      </c>
      <c r="D95" s="2" t="n">
        <v>2700</v>
      </c>
      <c r="E95" s="3">
        <f>D95*2/60</f>
        <v/>
      </c>
      <c r="F95" s="2" t="inlineStr">
        <is>
          <t>1100</t>
        </is>
      </c>
      <c r="G95" s="2" t="n">
        <v>2</v>
      </c>
      <c r="H95" s="2">
        <f>INDEX(Parametros!$B$2:$B$9,MATCH(G95,Parametros!$A$2:$A$9,0))</f>
        <v/>
      </c>
      <c r="I95" s="4">
        <f>1/(VALUE(MID(F95,1,1))/Parametros!$E$2+VALUE(MID(F95,2,1))/Parametros!$E$3+VALUE(MID(F95,3,1))/Parametros!$E$4+VALUE(MID(F95,4,1))/Parametros!$E$5)</f>
        <v/>
      </c>
      <c r="J95" s="5">
        <f>IF(G95=0,Parametros!$E$8,Parametros!$E$6+Parametros!$E$6*(Parametros!$E$7/G95+I95)/(Parametros!$E$6+Parametros!$E$7/G95+I95))</f>
        <v/>
      </c>
      <c r="K95" s="2" t="inlineStr">
        <is>
          <t>2026-10-09 12:20</t>
        </is>
      </c>
      <c r="L95" s="7" t="inlineStr">
        <is>
          <t>Patamar baixo de ripple (suspeita DAQ)</t>
        </is>
      </c>
      <c r="M95" s="2">
        <f>IF(L95="Válido","Sim","Não")</f>
        <v/>
      </c>
      <c r="N95" s="2" t="inlineStr">
        <is>
          <t>Ripple x C mediano da config = 589 (esperado ~730 a 80W)</t>
        </is>
      </c>
    </row>
    <row r="96">
      <c r="A96" s="2" t="inlineStr">
        <is>
          <t>1Bracos_2700_R1100_80W_2026-10-09_12_20.csv</t>
        </is>
      </c>
      <c r="B96" s="2" t="inlineStr">
        <is>
          <t>80W_2700RPM_R1100</t>
        </is>
      </c>
      <c r="C96" s="2" t="n">
        <v>80</v>
      </c>
      <c r="D96" s="2" t="n">
        <v>2700</v>
      </c>
      <c r="E96" s="3">
        <f>D96*2/60</f>
        <v/>
      </c>
      <c r="F96" s="2" t="inlineStr">
        <is>
          <t>1100</t>
        </is>
      </c>
      <c r="G96" s="2" t="n">
        <v>1</v>
      </c>
      <c r="H96" s="2">
        <f>INDEX(Parametros!$B$2:$B$9,MATCH(G96,Parametros!$A$2:$A$9,0))</f>
        <v/>
      </c>
      <c r="I96" s="4">
        <f>1/(VALUE(MID(F96,1,1))/Parametros!$E$2+VALUE(MID(F96,2,1))/Parametros!$E$3+VALUE(MID(F96,3,1))/Parametros!$E$4+VALUE(MID(F96,4,1))/Parametros!$E$5)</f>
        <v/>
      </c>
      <c r="J96" s="5">
        <f>IF(G96=0,Parametros!$E$8,Parametros!$E$6+Parametros!$E$6*(Parametros!$E$7/G96+I96)/(Parametros!$E$6+Parametros!$E$7/G96+I96))</f>
        <v/>
      </c>
      <c r="K96" s="2" t="inlineStr">
        <is>
          <t>2026-10-09 12:20</t>
        </is>
      </c>
      <c r="L96" s="7" t="inlineStr">
        <is>
          <t>Patamar baixo de ripple (suspeita DAQ)</t>
        </is>
      </c>
      <c r="M96" s="2">
        <f>IF(L96="Válido","Sim","Não")</f>
        <v/>
      </c>
      <c r="N96" s="2" t="inlineStr">
        <is>
          <t>Ripple x C mediano da config = 589 (esperado ~730 a 80W)</t>
        </is>
      </c>
    </row>
    <row r="97">
      <c r="A97" s="2" t="inlineStr">
        <is>
          <t>0Bracos_2700_R1100_80W_2026-10-09_12_20.csv</t>
        </is>
      </c>
      <c r="B97" s="2" t="inlineStr">
        <is>
          <t>80W_2700RPM_R1100</t>
        </is>
      </c>
      <c r="C97" s="2" t="n">
        <v>80</v>
      </c>
      <c r="D97" s="2" t="n">
        <v>2700</v>
      </c>
      <c r="E97" s="3">
        <f>D97*2/60</f>
        <v/>
      </c>
      <c r="F97" s="2" t="inlineStr">
        <is>
          <t>1100</t>
        </is>
      </c>
      <c r="G97" s="2" t="n">
        <v>0</v>
      </c>
      <c r="H97" s="2">
        <f>INDEX(Parametros!$B$2:$B$9,MATCH(G97,Parametros!$A$2:$A$9,0))</f>
        <v/>
      </c>
      <c r="I97" s="4">
        <f>1/(VALUE(MID(F97,1,1))/Parametros!$E$2+VALUE(MID(F97,2,1))/Parametros!$E$3+VALUE(MID(F97,3,1))/Parametros!$E$4+VALUE(MID(F97,4,1))/Parametros!$E$5)</f>
        <v/>
      </c>
      <c r="J97" s="5">
        <f>IF(G97=0,Parametros!$E$8,Parametros!$E$6+Parametros!$E$6*(Parametros!$E$7/G97+I97)/(Parametros!$E$6+Parametros!$E$7/G97+I97))</f>
        <v/>
      </c>
      <c r="K97" s="2" t="inlineStr">
        <is>
          <t>2026-10-09 12:20</t>
        </is>
      </c>
      <c r="L97" s="7" t="inlineStr">
        <is>
          <t>Patamar baixo de ripple (suspeita DAQ)</t>
        </is>
      </c>
      <c r="M97" s="2">
        <f>IF(L97="Válido","Sim","Não")</f>
        <v/>
      </c>
      <c r="N97" s="2" t="inlineStr">
        <is>
          <t>Ripple x C mediano da config = 589 (esperado ~730 a 80W)</t>
        </is>
      </c>
    </row>
    <row r="98">
      <c r="A98" s="2" t="inlineStr">
        <is>
          <t>7Bracos_2700_R1101_80W_2026-10-09_12_20.csv</t>
        </is>
      </c>
      <c r="B98" s="2" t="inlineStr">
        <is>
          <t>80W_2700RPM_R1101</t>
        </is>
      </c>
      <c r="C98" s="2" t="n">
        <v>80</v>
      </c>
      <c r="D98" s="2" t="n">
        <v>2700</v>
      </c>
      <c r="E98" s="3">
        <f>D98*2/60</f>
        <v/>
      </c>
      <c r="F98" s="2" t="inlineStr">
        <is>
          <t>1101</t>
        </is>
      </c>
      <c r="G98" s="2" t="n">
        <v>7</v>
      </c>
      <c r="H98" s="2">
        <f>INDEX(Parametros!$B$2:$B$9,MATCH(G98,Parametros!$A$2:$A$9,0))</f>
        <v/>
      </c>
      <c r="I98" s="4">
        <f>1/(VALUE(MID(F98,1,1))/Parametros!$E$2+VALUE(MID(F98,2,1))/Parametros!$E$3+VALUE(MID(F98,3,1))/Parametros!$E$4+VALUE(MID(F98,4,1))/Parametros!$E$5)</f>
        <v/>
      </c>
      <c r="J98" s="5">
        <f>IF(G98=0,Parametros!$E$8,Parametros!$E$6+Parametros!$E$6*(Parametros!$E$7/G98+I98)/(Parametros!$E$6+Parametros!$E$7/G98+I98))</f>
        <v/>
      </c>
      <c r="K98" s="2" t="inlineStr">
        <is>
          <t>2026-10-09 12:20</t>
        </is>
      </c>
      <c r="L98" s="6" t="inlineStr">
        <is>
          <t>Válido</t>
        </is>
      </c>
      <c r="M98" s="2">
        <f>IF(L98="Válido","Sim","Não")</f>
        <v/>
      </c>
      <c r="N98" s="2" t="inlineStr"/>
    </row>
    <row r="99">
      <c r="A99" s="2" t="inlineStr">
        <is>
          <t>6Bracos_2700_R1101_80W_2026-10-09_12_20.csv</t>
        </is>
      </c>
      <c r="B99" s="2" t="inlineStr">
        <is>
          <t>80W_2700RPM_R1101</t>
        </is>
      </c>
      <c r="C99" s="2" t="n">
        <v>80</v>
      </c>
      <c r="D99" s="2" t="n">
        <v>2700</v>
      </c>
      <c r="E99" s="3">
        <f>D99*2/60</f>
        <v/>
      </c>
      <c r="F99" s="2" t="inlineStr">
        <is>
          <t>1101</t>
        </is>
      </c>
      <c r="G99" s="2" t="n">
        <v>6</v>
      </c>
      <c r="H99" s="2">
        <f>INDEX(Parametros!$B$2:$B$9,MATCH(G99,Parametros!$A$2:$A$9,0))</f>
        <v/>
      </c>
      <c r="I99" s="4">
        <f>1/(VALUE(MID(F99,1,1))/Parametros!$E$2+VALUE(MID(F99,2,1))/Parametros!$E$3+VALUE(MID(F99,3,1))/Parametros!$E$4+VALUE(MID(F99,4,1))/Parametros!$E$5)</f>
        <v/>
      </c>
      <c r="J99" s="5">
        <f>IF(G99=0,Parametros!$E$8,Parametros!$E$6+Parametros!$E$6*(Parametros!$E$7/G99+I99)/(Parametros!$E$6+Parametros!$E$7/G99+I99))</f>
        <v/>
      </c>
      <c r="K99" s="2" t="inlineStr">
        <is>
          <t>2026-10-09 12:20</t>
        </is>
      </c>
      <c r="L99" s="6" t="inlineStr">
        <is>
          <t>Válido</t>
        </is>
      </c>
      <c r="M99" s="2">
        <f>IF(L99="Válido","Sim","Não")</f>
        <v/>
      </c>
      <c r="N99" s="2" t="inlineStr"/>
    </row>
    <row r="100">
      <c r="A100" s="2" t="inlineStr">
        <is>
          <t>5Bracos_2700_R1101_80W_2026-10-09_12_20.csv</t>
        </is>
      </c>
      <c r="B100" s="2" t="inlineStr">
        <is>
          <t>80W_2700RPM_R1101</t>
        </is>
      </c>
      <c r="C100" s="2" t="n">
        <v>80</v>
      </c>
      <c r="D100" s="2" t="n">
        <v>2700</v>
      </c>
      <c r="E100" s="3">
        <f>D100*2/60</f>
        <v/>
      </c>
      <c r="F100" s="2" t="inlineStr">
        <is>
          <t>1101</t>
        </is>
      </c>
      <c r="G100" s="2" t="n">
        <v>5</v>
      </c>
      <c r="H100" s="2">
        <f>INDEX(Parametros!$B$2:$B$9,MATCH(G100,Parametros!$A$2:$A$9,0))</f>
        <v/>
      </c>
      <c r="I100" s="4">
        <f>1/(VALUE(MID(F100,1,1))/Parametros!$E$2+VALUE(MID(F100,2,1))/Parametros!$E$3+VALUE(MID(F100,3,1))/Parametros!$E$4+VALUE(MID(F100,4,1))/Parametros!$E$5)</f>
        <v/>
      </c>
      <c r="J100" s="5">
        <f>IF(G100=0,Parametros!$E$8,Parametros!$E$6+Parametros!$E$6*(Parametros!$E$7/G100+I100)/(Parametros!$E$6+Parametros!$E$7/G100+I100))</f>
        <v/>
      </c>
      <c r="K100" s="2" t="inlineStr">
        <is>
          <t>2026-10-09 12:20</t>
        </is>
      </c>
      <c r="L100" s="6" t="inlineStr">
        <is>
          <t>Válido</t>
        </is>
      </c>
      <c r="M100" s="2">
        <f>IF(L100="Válido","Sim","Não")</f>
        <v/>
      </c>
      <c r="N100" s="2" t="inlineStr"/>
    </row>
    <row r="101">
      <c r="A101" s="2" t="inlineStr">
        <is>
          <t>4Bracos_2700_R1101_80W_2026-10-09_12_20.csv</t>
        </is>
      </c>
      <c r="B101" s="2" t="inlineStr">
        <is>
          <t>80W_2700RPM_R1101</t>
        </is>
      </c>
      <c r="C101" s="2" t="n">
        <v>80</v>
      </c>
      <c r="D101" s="2" t="n">
        <v>2700</v>
      </c>
      <c r="E101" s="3">
        <f>D101*2/60</f>
        <v/>
      </c>
      <c r="F101" s="2" t="inlineStr">
        <is>
          <t>1101</t>
        </is>
      </c>
      <c r="G101" s="2" t="n">
        <v>4</v>
      </c>
      <c r="H101" s="2">
        <f>INDEX(Parametros!$B$2:$B$9,MATCH(G101,Parametros!$A$2:$A$9,0))</f>
        <v/>
      </c>
      <c r="I101" s="4">
        <f>1/(VALUE(MID(F101,1,1))/Parametros!$E$2+VALUE(MID(F101,2,1))/Parametros!$E$3+VALUE(MID(F101,3,1))/Parametros!$E$4+VALUE(MID(F101,4,1))/Parametros!$E$5)</f>
        <v/>
      </c>
      <c r="J101" s="5">
        <f>IF(G101=0,Parametros!$E$8,Parametros!$E$6+Parametros!$E$6*(Parametros!$E$7/G101+I101)/(Parametros!$E$6+Parametros!$E$7/G101+I101))</f>
        <v/>
      </c>
      <c r="K101" s="2" t="inlineStr">
        <is>
          <t>2026-10-09 12:20</t>
        </is>
      </c>
      <c r="L101" s="6" t="inlineStr">
        <is>
          <t>Válido</t>
        </is>
      </c>
      <c r="M101" s="2">
        <f>IF(L101="Válido","Sim","Não")</f>
        <v/>
      </c>
      <c r="N101" s="2" t="inlineStr"/>
    </row>
    <row r="102">
      <c r="A102" s="2" t="inlineStr">
        <is>
          <t>3Bracos_2700_R1101_80W_2026-10-09_12_20.csv</t>
        </is>
      </c>
      <c r="B102" s="2" t="inlineStr">
        <is>
          <t>80W_2700RPM_R1101</t>
        </is>
      </c>
      <c r="C102" s="2" t="n">
        <v>80</v>
      </c>
      <c r="D102" s="2" t="n">
        <v>2700</v>
      </c>
      <c r="E102" s="3">
        <f>D102*2/60</f>
        <v/>
      </c>
      <c r="F102" s="2" t="inlineStr">
        <is>
          <t>1101</t>
        </is>
      </c>
      <c r="G102" s="2" t="n">
        <v>3</v>
      </c>
      <c r="H102" s="2">
        <f>INDEX(Parametros!$B$2:$B$9,MATCH(G102,Parametros!$A$2:$A$9,0))</f>
        <v/>
      </c>
      <c r="I102" s="4">
        <f>1/(VALUE(MID(F102,1,1))/Parametros!$E$2+VALUE(MID(F102,2,1))/Parametros!$E$3+VALUE(MID(F102,3,1))/Parametros!$E$4+VALUE(MID(F102,4,1))/Parametros!$E$5)</f>
        <v/>
      </c>
      <c r="J102" s="5">
        <f>IF(G102=0,Parametros!$E$8,Parametros!$E$6+Parametros!$E$6*(Parametros!$E$7/G102+I102)/(Parametros!$E$6+Parametros!$E$7/G102+I102))</f>
        <v/>
      </c>
      <c r="K102" s="2" t="inlineStr">
        <is>
          <t>2026-10-09 12:20</t>
        </is>
      </c>
      <c r="L102" s="6" t="inlineStr">
        <is>
          <t>Válido</t>
        </is>
      </c>
      <c r="M102" s="2">
        <f>IF(L102="Válido","Sim","Não")</f>
        <v/>
      </c>
      <c r="N102" s="2" t="inlineStr"/>
    </row>
    <row r="103">
      <c r="A103" s="2" t="inlineStr">
        <is>
          <t>2Bracos_2700_R1101_80W_2026-10-09_12_20.csv</t>
        </is>
      </c>
      <c r="B103" s="2" t="inlineStr">
        <is>
          <t>80W_2700RPM_R1101</t>
        </is>
      </c>
      <c r="C103" s="2" t="n">
        <v>80</v>
      </c>
      <c r="D103" s="2" t="n">
        <v>2700</v>
      </c>
      <c r="E103" s="3">
        <f>D103*2/60</f>
        <v/>
      </c>
      <c r="F103" s="2" t="inlineStr">
        <is>
          <t>1101</t>
        </is>
      </c>
      <c r="G103" s="2" t="n">
        <v>2</v>
      </c>
      <c r="H103" s="2">
        <f>INDEX(Parametros!$B$2:$B$9,MATCH(G103,Parametros!$A$2:$A$9,0))</f>
        <v/>
      </c>
      <c r="I103" s="4">
        <f>1/(VALUE(MID(F103,1,1))/Parametros!$E$2+VALUE(MID(F103,2,1))/Parametros!$E$3+VALUE(MID(F103,3,1))/Parametros!$E$4+VALUE(MID(F103,4,1))/Parametros!$E$5)</f>
        <v/>
      </c>
      <c r="J103" s="5">
        <f>IF(G103=0,Parametros!$E$8,Parametros!$E$6+Parametros!$E$6*(Parametros!$E$7/G103+I103)/(Parametros!$E$6+Parametros!$E$7/G103+I103))</f>
        <v/>
      </c>
      <c r="K103" s="2" t="inlineStr">
        <is>
          <t>2026-10-09 12:20</t>
        </is>
      </c>
      <c r="L103" s="6" t="inlineStr">
        <is>
          <t>Válido</t>
        </is>
      </c>
      <c r="M103" s="2">
        <f>IF(L103="Válido","Sim","Não")</f>
        <v/>
      </c>
      <c r="N103" s="2" t="inlineStr"/>
    </row>
    <row r="104">
      <c r="A104" s="2" t="inlineStr">
        <is>
          <t>1Bracos_2700_R1101_80W_2026-10-09_12_20.csv</t>
        </is>
      </c>
      <c r="B104" s="2" t="inlineStr">
        <is>
          <t>80W_2700RPM_R1101</t>
        </is>
      </c>
      <c r="C104" s="2" t="n">
        <v>80</v>
      </c>
      <c r="D104" s="2" t="n">
        <v>2700</v>
      </c>
      <c r="E104" s="3">
        <f>D104*2/60</f>
        <v/>
      </c>
      <c r="F104" s="2" t="inlineStr">
        <is>
          <t>1101</t>
        </is>
      </c>
      <c r="G104" s="2" t="n">
        <v>1</v>
      </c>
      <c r="H104" s="2">
        <f>INDEX(Parametros!$B$2:$B$9,MATCH(G104,Parametros!$A$2:$A$9,0))</f>
        <v/>
      </c>
      <c r="I104" s="4">
        <f>1/(VALUE(MID(F104,1,1))/Parametros!$E$2+VALUE(MID(F104,2,1))/Parametros!$E$3+VALUE(MID(F104,3,1))/Parametros!$E$4+VALUE(MID(F104,4,1))/Parametros!$E$5)</f>
        <v/>
      </c>
      <c r="J104" s="5">
        <f>IF(G104=0,Parametros!$E$8,Parametros!$E$6+Parametros!$E$6*(Parametros!$E$7/G104+I104)/(Parametros!$E$6+Parametros!$E$7/G104+I104))</f>
        <v/>
      </c>
      <c r="K104" s="2" t="inlineStr">
        <is>
          <t>2026-10-09 12:20</t>
        </is>
      </c>
      <c r="L104" s="6" t="inlineStr">
        <is>
          <t>Válido</t>
        </is>
      </c>
      <c r="M104" s="2">
        <f>IF(L104="Válido","Sim","Não")</f>
        <v/>
      </c>
      <c r="N104" s="2" t="inlineStr"/>
    </row>
    <row r="105">
      <c r="A105" s="2" t="inlineStr">
        <is>
          <t>0Bracos_2700_R1101_80W_2026-10-09_12_20.csv</t>
        </is>
      </c>
      <c r="B105" s="2" t="inlineStr">
        <is>
          <t>80W_2700RPM_R1101</t>
        </is>
      </c>
      <c r="C105" s="2" t="n">
        <v>80</v>
      </c>
      <c r="D105" s="2" t="n">
        <v>2700</v>
      </c>
      <c r="E105" s="3">
        <f>D105*2/60</f>
        <v/>
      </c>
      <c r="F105" s="2" t="inlineStr">
        <is>
          <t>1101</t>
        </is>
      </c>
      <c r="G105" s="2" t="n">
        <v>0</v>
      </c>
      <c r="H105" s="2">
        <f>INDEX(Parametros!$B$2:$B$9,MATCH(G105,Parametros!$A$2:$A$9,0))</f>
        <v/>
      </c>
      <c r="I105" s="4">
        <f>1/(VALUE(MID(F105,1,1))/Parametros!$E$2+VALUE(MID(F105,2,1))/Parametros!$E$3+VALUE(MID(F105,3,1))/Parametros!$E$4+VALUE(MID(F105,4,1))/Parametros!$E$5)</f>
        <v/>
      </c>
      <c r="J105" s="5">
        <f>IF(G105=0,Parametros!$E$8,Parametros!$E$6+Parametros!$E$6*(Parametros!$E$7/G105+I105)/(Parametros!$E$6+Parametros!$E$7/G105+I105))</f>
        <v/>
      </c>
      <c r="K105" s="2" t="inlineStr">
        <is>
          <t>2026-10-09 12:20</t>
        </is>
      </c>
      <c r="L105" s="6" t="inlineStr">
        <is>
          <t>Válido</t>
        </is>
      </c>
      <c r="M105" s="2">
        <f>IF(L105="Válido","Sim","Não")</f>
        <v/>
      </c>
      <c r="N105" s="2" t="inlineStr"/>
    </row>
    <row r="106">
      <c r="A106" s="2" t="inlineStr">
        <is>
          <t>7Bracos_2700_R1110_80W_2026-10-09_12_20.csv</t>
        </is>
      </c>
      <c r="B106" s="2" t="inlineStr">
        <is>
          <t>80W_2700RPM_R1110</t>
        </is>
      </c>
      <c r="C106" s="2" t="n">
        <v>80</v>
      </c>
      <c r="D106" s="2" t="n">
        <v>2700</v>
      </c>
      <c r="E106" s="3">
        <f>D106*2/60</f>
        <v/>
      </c>
      <c r="F106" s="2" t="inlineStr">
        <is>
          <t>1110</t>
        </is>
      </c>
      <c r="G106" s="2" t="n">
        <v>7</v>
      </c>
      <c r="H106" s="2">
        <f>INDEX(Parametros!$B$2:$B$9,MATCH(G106,Parametros!$A$2:$A$9,0))</f>
        <v/>
      </c>
      <c r="I106" s="4">
        <f>1/(VALUE(MID(F106,1,1))/Parametros!$E$2+VALUE(MID(F106,2,1))/Parametros!$E$3+VALUE(MID(F106,3,1))/Parametros!$E$4+VALUE(MID(F106,4,1))/Parametros!$E$5)</f>
        <v/>
      </c>
      <c r="J106" s="5">
        <f>IF(G106=0,Parametros!$E$8,Parametros!$E$6+Parametros!$E$6*(Parametros!$E$7/G106+I106)/(Parametros!$E$6+Parametros!$E$7/G106+I106))</f>
        <v/>
      </c>
      <c r="K106" s="2" t="inlineStr">
        <is>
          <t>2026-10-09 12:20</t>
        </is>
      </c>
      <c r="L106" s="6" t="inlineStr">
        <is>
          <t>Válido</t>
        </is>
      </c>
      <c r="M106" s="2">
        <f>IF(L106="Válido","Sim","Não")</f>
        <v/>
      </c>
      <c r="N106" s="2" t="inlineStr"/>
    </row>
    <row r="107">
      <c r="A107" s="2" t="inlineStr">
        <is>
          <t>6Bracos_2700_R1110_80W_2026-10-09_12_20.csv</t>
        </is>
      </c>
      <c r="B107" s="2" t="inlineStr">
        <is>
          <t>80W_2700RPM_R1110</t>
        </is>
      </c>
      <c r="C107" s="2" t="n">
        <v>80</v>
      </c>
      <c r="D107" s="2" t="n">
        <v>2700</v>
      </c>
      <c r="E107" s="3">
        <f>D107*2/60</f>
        <v/>
      </c>
      <c r="F107" s="2" t="inlineStr">
        <is>
          <t>1110</t>
        </is>
      </c>
      <c r="G107" s="2" t="n">
        <v>6</v>
      </c>
      <c r="H107" s="2">
        <f>INDEX(Parametros!$B$2:$B$9,MATCH(G107,Parametros!$A$2:$A$9,0))</f>
        <v/>
      </c>
      <c r="I107" s="4">
        <f>1/(VALUE(MID(F107,1,1))/Parametros!$E$2+VALUE(MID(F107,2,1))/Parametros!$E$3+VALUE(MID(F107,3,1))/Parametros!$E$4+VALUE(MID(F107,4,1))/Parametros!$E$5)</f>
        <v/>
      </c>
      <c r="J107" s="5">
        <f>IF(G107=0,Parametros!$E$8,Parametros!$E$6+Parametros!$E$6*(Parametros!$E$7/G107+I107)/(Parametros!$E$6+Parametros!$E$7/G107+I107))</f>
        <v/>
      </c>
      <c r="K107" s="2" t="inlineStr">
        <is>
          <t>2026-10-09 12:20</t>
        </is>
      </c>
      <c r="L107" s="6" t="inlineStr">
        <is>
          <t>Válido</t>
        </is>
      </c>
      <c r="M107" s="2">
        <f>IF(L107="Válido","Sim","Não")</f>
        <v/>
      </c>
      <c r="N107" s="2" t="inlineStr"/>
    </row>
    <row r="108">
      <c r="A108" s="2" t="inlineStr">
        <is>
          <t>5Bracos_2700_R1110_80W_2026-10-09_12_20.csv</t>
        </is>
      </c>
      <c r="B108" s="2" t="inlineStr">
        <is>
          <t>80W_2700RPM_R1110</t>
        </is>
      </c>
      <c r="C108" s="2" t="n">
        <v>80</v>
      </c>
      <c r="D108" s="2" t="n">
        <v>2700</v>
      </c>
      <c r="E108" s="3">
        <f>D108*2/60</f>
        <v/>
      </c>
      <c r="F108" s="2" t="inlineStr">
        <is>
          <t>1110</t>
        </is>
      </c>
      <c r="G108" s="2" t="n">
        <v>5</v>
      </c>
      <c r="H108" s="2">
        <f>INDEX(Parametros!$B$2:$B$9,MATCH(G108,Parametros!$A$2:$A$9,0))</f>
        <v/>
      </c>
      <c r="I108" s="4">
        <f>1/(VALUE(MID(F108,1,1))/Parametros!$E$2+VALUE(MID(F108,2,1))/Parametros!$E$3+VALUE(MID(F108,3,1))/Parametros!$E$4+VALUE(MID(F108,4,1))/Parametros!$E$5)</f>
        <v/>
      </c>
      <c r="J108" s="5">
        <f>IF(G108=0,Parametros!$E$8,Parametros!$E$6+Parametros!$E$6*(Parametros!$E$7/G108+I108)/(Parametros!$E$6+Parametros!$E$7/G108+I108))</f>
        <v/>
      </c>
      <c r="K108" s="2" t="inlineStr">
        <is>
          <t>2026-10-09 12:20</t>
        </is>
      </c>
      <c r="L108" s="6" t="inlineStr">
        <is>
          <t>Válido</t>
        </is>
      </c>
      <c r="M108" s="2">
        <f>IF(L108="Válido","Sim","Não")</f>
        <v/>
      </c>
      <c r="N108" s="2" t="inlineStr"/>
    </row>
    <row r="109">
      <c r="A109" s="2" t="inlineStr">
        <is>
          <t>4Bracos_2700_R1110_80W_2026-10-09_12_20.csv</t>
        </is>
      </c>
      <c r="B109" s="2" t="inlineStr">
        <is>
          <t>80W_2700RPM_R1110</t>
        </is>
      </c>
      <c r="C109" s="2" t="n">
        <v>80</v>
      </c>
      <c r="D109" s="2" t="n">
        <v>2700</v>
      </c>
      <c r="E109" s="3">
        <f>D109*2/60</f>
        <v/>
      </c>
      <c r="F109" s="2" t="inlineStr">
        <is>
          <t>1110</t>
        </is>
      </c>
      <c r="G109" s="2" t="n">
        <v>4</v>
      </c>
      <c r="H109" s="2">
        <f>INDEX(Parametros!$B$2:$B$9,MATCH(G109,Parametros!$A$2:$A$9,0))</f>
        <v/>
      </c>
      <c r="I109" s="4">
        <f>1/(VALUE(MID(F109,1,1))/Parametros!$E$2+VALUE(MID(F109,2,1))/Parametros!$E$3+VALUE(MID(F109,3,1))/Parametros!$E$4+VALUE(MID(F109,4,1))/Parametros!$E$5)</f>
        <v/>
      </c>
      <c r="J109" s="5">
        <f>IF(G109=0,Parametros!$E$8,Parametros!$E$6+Parametros!$E$6*(Parametros!$E$7/G109+I109)/(Parametros!$E$6+Parametros!$E$7/G109+I109))</f>
        <v/>
      </c>
      <c r="K109" s="2" t="inlineStr">
        <is>
          <t>2026-10-09 12:20</t>
        </is>
      </c>
      <c r="L109" s="6" t="inlineStr">
        <is>
          <t>Válido</t>
        </is>
      </c>
      <c r="M109" s="2">
        <f>IF(L109="Válido","Sim","Não")</f>
        <v/>
      </c>
      <c r="N109" s="2" t="inlineStr"/>
    </row>
    <row r="110">
      <c r="A110" s="2" t="inlineStr">
        <is>
          <t>3Bracos_2700_R1110_80W_2026-10-09_12_20.csv</t>
        </is>
      </c>
      <c r="B110" s="2" t="inlineStr">
        <is>
          <t>80W_2700RPM_R1110</t>
        </is>
      </c>
      <c r="C110" s="2" t="n">
        <v>80</v>
      </c>
      <c r="D110" s="2" t="n">
        <v>2700</v>
      </c>
      <c r="E110" s="3">
        <f>D110*2/60</f>
        <v/>
      </c>
      <c r="F110" s="2" t="inlineStr">
        <is>
          <t>1110</t>
        </is>
      </c>
      <c r="G110" s="2" t="n">
        <v>3</v>
      </c>
      <c r="H110" s="2">
        <f>INDEX(Parametros!$B$2:$B$9,MATCH(G110,Parametros!$A$2:$A$9,0))</f>
        <v/>
      </c>
      <c r="I110" s="4">
        <f>1/(VALUE(MID(F110,1,1))/Parametros!$E$2+VALUE(MID(F110,2,1))/Parametros!$E$3+VALUE(MID(F110,3,1))/Parametros!$E$4+VALUE(MID(F110,4,1))/Parametros!$E$5)</f>
        <v/>
      </c>
      <c r="J110" s="5">
        <f>IF(G110=0,Parametros!$E$8,Parametros!$E$6+Parametros!$E$6*(Parametros!$E$7/G110+I110)/(Parametros!$E$6+Parametros!$E$7/G110+I110))</f>
        <v/>
      </c>
      <c r="K110" s="2" t="inlineStr">
        <is>
          <t>2026-10-09 12:20</t>
        </is>
      </c>
      <c r="L110" s="6" t="inlineStr">
        <is>
          <t>Válido</t>
        </is>
      </c>
      <c r="M110" s="2">
        <f>IF(L110="Válido","Sim","Não")</f>
        <v/>
      </c>
      <c r="N110" s="2" t="inlineStr"/>
    </row>
    <row r="111">
      <c r="A111" s="2" t="inlineStr">
        <is>
          <t>2Bracos_2700_R1110_80W_2026-10-09_12_20.csv</t>
        </is>
      </c>
      <c r="B111" s="2" t="inlineStr">
        <is>
          <t>80W_2700RPM_R1110</t>
        </is>
      </c>
      <c r="C111" s="2" t="n">
        <v>80</v>
      </c>
      <c r="D111" s="2" t="n">
        <v>2700</v>
      </c>
      <c r="E111" s="3">
        <f>D111*2/60</f>
        <v/>
      </c>
      <c r="F111" s="2" t="inlineStr">
        <is>
          <t>1110</t>
        </is>
      </c>
      <c r="G111" s="2" t="n">
        <v>2</v>
      </c>
      <c r="H111" s="2">
        <f>INDEX(Parametros!$B$2:$B$9,MATCH(G111,Parametros!$A$2:$A$9,0))</f>
        <v/>
      </c>
      <c r="I111" s="4">
        <f>1/(VALUE(MID(F111,1,1))/Parametros!$E$2+VALUE(MID(F111,2,1))/Parametros!$E$3+VALUE(MID(F111,3,1))/Parametros!$E$4+VALUE(MID(F111,4,1))/Parametros!$E$5)</f>
        <v/>
      </c>
      <c r="J111" s="5">
        <f>IF(G111=0,Parametros!$E$8,Parametros!$E$6+Parametros!$E$6*(Parametros!$E$7/G111+I111)/(Parametros!$E$6+Parametros!$E$7/G111+I111))</f>
        <v/>
      </c>
      <c r="K111" s="2" t="inlineStr">
        <is>
          <t>2026-10-09 12:20</t>
        </is>
      </c>
      <c r="L111" s="6" t="inlineStr">
        <is>
          <t>Válido</t>
        </is>
      </c>
      <c r="M111" s="2">
        <f>IF(L111="Válido","Sim","Não")</f>
        <v/>
      </c>
      <c r="N111" s="2" t="inlineStr"/>
    </row>
    <row r="112">
      <c r="A112" s="2" t="inlineStr">
        <is>
          <t>1Bracos_2700_R1110_80W_2026-10-09_12_20.csv</t>
        </is>
      </c>
      <c r="B112" s="2" t="inlineStr">
        <is>
          <t>80W_2700RPM_R1110</t>
        </is>
      </c>
      <c r="C112" s="2" t="n">
        <v>80</v>
      </c>
      <c r="D112" s="2" t="n">
        <v>2700</v>
      </c>
      <c r="E112" s="3">
        <f>D112*2/60</f>
        <v/>
      </c>
      <c r="F112" s="2" t="inlineStr">
        <is>
          <t>1110</t>
        </is>
      </c>
      <c r="G112" s="2" t="n">
        <v>1</v>
      </c>
      <c r="H112" s="2">
        <f>INDEX(Parametros!$B$2:$B$9,MATCH(G112,Parametros!$A$2:$A$9,0))</f>
        <v/>
      </c>
      <c r="I112" s="4">
        <f>1/(VALUE(MID(F112,1,1))/Parametros!$E$2+VALUE(MID(F112,2,1))/Parametros!$E$3+VALUE(MID(F112,3,1))/Parametros!$E$4+VALUE(MID(F112,4,1))/Parametros!$E$5)</f>
        <v/>
      </c>
      <c r="J112" s="5">
        <f>IF(G112=0,Parametros!$E$8,Parametros!$E$6+Parametros!$E$6*(Parametros!$E$7/G112+I112)/(Parametros!$E$6+Parametros!$E$7/G112+I112))</f>
        <v/>
      </c>
      <c r="K112" s="2" t="inlineStr">
        <is>
          <t>2026-10-09 12:20</t>
        </is>
      </c>
      <c r="L112" s="6" t="inlineStr">
        <is>
          <t>Válido</t>
        </is>
      </c>
      <c r="M112" s="2">
        <f>IF(L112="Válido","Sim","Não")</f>
        <v/>
      </c>
      <c r="N112" s="2" t="inlineStr"/>
    </row>
    <row r="113">
      <c r="A113" s="2" t="inlineStr">
        <is>
          <t>0Bracos_2700_R1110_80W_2026-10-09_12_20.csv</t>
        </is>
      </c>
      <c r="B113" s="2" t="inlineStr">
        <is>
          <t>80W_2700RPM_R1110</t>
        </is>
      </c>
      <c r="C113" s="2" t="n">
        <v>80</v>
      </c>
      <c r="D113" s="2" t="n">
        <v>2700</v>
      </c>
      <c r="E113" s="3">
        <f>D113*2/60</f>
        <v/>
      </c>
      <c r="F113" s="2" t="inlineStr">
        <is>
          <t>1110</t>
        </is>
      </c>
      <c r="G113" s="2" t="n">
        <v>0</v>
      </c>
      <c r="H113" s="2">
        <f>INDEX(Parametros!$B$2:$B$9,MATCH(G113,Parametros!$A$2:$A$9,0))</f>
        <v/>
      </c>
      <c r="I113" s="4">
        <f>1/(VALUE(MID(F113,1,1))/Parametros!$E$2+VALUE(MID(F113,2,1))/Parametros!$E$3+VALUE(MID(F113,3,1))/Parametros!$E$4+VALUE(MID(F113,4,1))/Parametros!$E$5)</f>
        <v/>
      </c>
      <c r="J113" s="5">
        <f>IF(G113=0,Parametros!$E$8,Parametros!$E$6+Parametros!$E$6*(Parametros!$E$7/G113+I113)/(Parametros!$E$6+Parametros!$E$7/G113+I113))</f>
        <v/>
      </c>
      <c r="K113" s="2" t="inlineStr">
        <is>
          <t>2026-10-09 12:20</t>
        </is>
      </c>
      <c r="L113" s="6" t="inlineStr">
        <is>
          <t>Válido</t>
        </is>
      </c>
      <c r="M113" s="2">
        <f>IF(L113="Válido","Sim","Não")</f>
        <v/>
      </c>
      <c r="N113" s="2" t="inlineStr"/>
    </row>
    <row r="114">
      <c r="A114" s="2" t="inlineStr">
        <is>
          <t>7Bracos_2700_R1111_80W_2026-10-09_12_20.csv</t>
        </is>
      </c>
      <c r="B114" s="2" t="inlineStr">
        <is>
          <t>80W_2700RPM_R1111</t>
        </is>
      </c>
      <c r="C114" s="2" t="n">
        <v>80</v>
      </c>
      <c r="D114" s="2" t="n">
        <v>2700</v>
      </c>
      <c r="E114" s="3">
        <f>D114*2/60</f>
        <v/>
      </c>
      <c r="F114" s="2" t="inlineStr">
        <is>
          <t>1111</t>
        </is>
      </c>
      <c r="G114" s="2" t="n">
        <v>7</v>
      </c>
      <c r="H114" s="2">
        <f>INDEX(Parametros!$B$2:$B$9,MATCH(G114,Parametros!$A$2:$A$9,0))</f>
        <v/>
      </c>
      <c r="I114" s="4">
        <f>1/(VALUE(MID(F114,1,1))/Parametros!$E$2+VALUE(MID(F114,2,1))/Parametros!$E$3+VALUE(MID(F114,3,1))/Parametros!$E$4+VALUE(MID(F114,4,1))/Parametros!$E$5)</f>
        <v/>
      </c>
      <c r="J114" s="5">
        <f>IF(G114=0,Parametros!$E$8,Parametros!$E$6+Parametros!$E$6*(Parametros!$E$7/G114+I114)/(Parametros!$E$6+Parametros!$E$7/G114+I114))</f>
        <v/>
      </c>
      <c r="K114" s="2" t="inlineStr">
        <is>
          <t>2026-10-09 12:20</t>
        </is>
      </c>
      <c r="L114" s="6" t="inlineStr">
        <is>
          <t>Válido</t>
        </is>
      </c>
      <c r="M114" s="2">
        <f>IF(L114="Válido","Sim","Não")</f>
        <v/>
      </c>
      <c r="N114" s="2" t="inlineStr"/>
    </row>
    <row r="115">
      <c r="A115" s="2" t="inlineStr">
        <is>
          <t>6Bracos_2700_R1111_80W_2026-10-09_12_20.csv</t>
        </is>
      </c>
      <c r="B115" s="2" t="inlineStr">
        <is>
          <t>80W_2700RPM_R1111</t>
        </is>
      </c>
      <c r="C115" s="2" t="n">
        <v>80</v>
      </c>
      <c r="D115" s="2" t="n">
        <v>2700</v>
      </c>
      <c r="E115" s="3">
        <f>D115*2/60</f>
        <v/>
      </c>
      <c r="F115" s="2" t="inlineStr">
        <is>
          <t>1111</t>
        </is>
      </c>
      <c r="G115" s="2" t="n">
        <v>6</v>
      </c>
      <c r="H115" s="2">
        <f>INDEX(Parametros!$B$2:$B$9,MATCH(G115,Parametros!$A$2:$A$9,0))</f>
        <v/>
      </c>
      <c r="I115" s="4">
        <f>1/(VALUE(MID(F115,1,1))/Parametros!$E$2+VALUE(MID(F115,2,1))/Parametros!$E$3+VALUE(MID(F115,3,1))/Parametros!$E$4+VALUE(MID(F115,4,1))/Parametros!$E$5)</f>
        <v/>
      </c>
      <c r="J115" s="5">
        <f>IF(G115=0,Parametros!$E$8,Parametros!$E$6+Parametros!$E$6*(Parametros!$E$7/G115+I115)/(Parametros!$E$6+Parametros!$E$7/G115+I115))</f>
        <v/>
      </c>
      <c r="K115" s="2" t="inlineStr">
        <is>
          <t>2026-10-09 12:20</t>
        </is>
      </c>
      <c r="L115" s="6" t="inlineStr">
        <is>
          <t>Válido</t>
        </is>
      </c>
      <c r="M115" s="2">
        <f>IF(L115="Válido","Sim","Não")</f>
        <v/>
      </c>
      <c r="N115" s="2" t="inlineStr"/>
    </row>
    <row r="116">
      <c r="A116" s="2" t="inlineStr">
        <is>
          <t>5Bracos_2700_R1111_80W_2026-10-09_12_20.csv</t>
        </is>
      </c>
      <c r="B116" s="2" t="inlineStr">
        <is>
          <t>80W_2700RPM_R1111</t>
        </is>
      </c>
      <c r="C116" s="2" t="n">
        <v>80</v>
      </c>
      <c r="D116" s="2" t="n">
        <v>2700</v>
      </c>
      <c r="E116" s="3">
        <f>D116*2/60</f>
        <v/>
      </c>
      <c r="F116" s="2" t="inlineStr">
        <is>
          <t>1111</t>
        </is>
      </c>
      <c r="G116" s="2" t="n">
        <v>5</v>
      </c>
      <c r="H116" s="2">
        <f>INDEX(Parametros!$B$2:$B$9,MATCH(G116,Parametros!$A$2:$A$9,0))</f>
        <v/>
      </c>
      <c r="I116" s="4">
        <f>1/(VALUE(MID(F116,1,1))/Parametros!$E$2+VALUE(MID(F116,2,1))/Parametros!$E$3+VALUE(MID(F116,3,1))/Parametros!$E$4+VALUE(MID(F116,4,1))/Parametros!$E$5)</f>
        <v/>
      </c>
      <c r="J116" s="5">
        <f>IF(G116=0,Parametros!$E$8,Parametros!$E$6+Parametros!$E$6*(Parametros!$E$7/G116+I116)/(Parametros!$E$6+Parametros!$E$7/G116+I116))</f>
        <v/>
      </c>
      <c r="K116" s="2" t="inlineStr">
        <is>
          <t>2026-10-09 12:20</t>
        </is>
      </c>
      <c r="L116" s="6" t="inlineStr">
        <is>
          <t>Válido</t>
        </is>
      </c>
      <c r="M116" s="2">
        <f>IF(L116="Válido","Sim","Não")</f>
        <v/>
      </c>
      <c r="N116" s="2" t="inlineStr"/>
    </row>
    <row r="117">
      <c r="A117" s="2" t="inlineStr">
        <is>
          <t>4Bracos_2700_R1111_80W_2026-10-09_12_20.csv</t>
        </is>
      </c>
      <c r="B117" s="2" t="inlineStr">
        <is>
          <t>80W_2700RPM_R1111</t>
        </is>
      </c>
      <c r="C117" s="2" t="n">
        <v>80</v>
      </c>
      <c r="D117" s="2" t="n">
        <v>2700</v>
      </c>
      <c r="E117" s="3">
        <f>D117*2/60</f>
        <v/>
      </c>
      <c r="F117" s="2" t="inlineStr">
        <is>
          <t>1111</t>
        </is>
      </c>
      <c r="G117" s="2" t="n">
        <v>4</v>
      </c>
      <c r="H117" s="2">
        <f>INDEX(Parametros!$B$2:$B$9,MATCH(G117,Parametros!$A$2:$A$9,0))</f>
        <v/>
      </c>
      <c r="I117" s="4">
        <f>1/(VALUE(MID(F117,1,1))/Parametros!$E$2+VALUE(MID(F117,2,1))/Parametros!$E$3+VALUE(MID(F117,3,1))/Parametros!$E$4+VALUE(MID(F117,4,1))/Parametros!$E$5)</f>
        <v/>
      </c>
      <c r="J117" s="5">
        <f>IF(G117=0,Parametros!$E$8,Parametros!$E$6+Parametros!$E$6*(Parametros!$E$7/G117+I117)/(Parametros!$E$6+Parametros!$E$7/G117+I117))</f>
        <v/>
      </c>
      <c r="K117" s="2" t="inlineStr">
        <is>
          <t>2026-10-09 12:20</t>
        </is>
      </c>
      <c r="L117" s="6" t="inlineStr">
        <is>
          <t>Válido</t>
        </is>
      </c>
      <c r="M117" s="2">
        <f>IF(L117="Válido","Sim","Não")</f>
        <v/>
      </c>
      <c r="N117" s="2" t="inlineStr"/>
    </row>
    <row r="118">
      <c r="A118" s="2" t="inlineStr">
        <is>
          <t>3Bracos_2700_R1111_80W_2026-10-09_12_20.csv</t>
        </is>
      </c>
      <c r="B118" s="2" t="inlineStr">
        <is>
          <t>80W_2700RPM_R1111</t>
        </is>
      </c>
      <c r="C118" s="2" t="n">
        <v>80</v>
      </c>
      <c r="D118" s="2" t="n">
        <v>2700</v>
      </c>
      <c r="E118" s="3">
        <f>D118*2/60</f>
        <v/>
      </c>
      <c r="F118" s="2" t="inlineStr">
        <is>
          <t>1111</t>
        </is>
      </c>
      <c r="G118" s="2" t="n">
        <v>3</v>
      </c>
      <c r="H118" s="2">
        <f>INDEX(Parametros!$B$2:$B$9,MATCH(G118,Parametros!$A$2:$A$9,0))</f>
        <v/>
      </c>
      <c r="I118" s="4">
        <f>1/(VALUE(MID(F118,1,1))/Parametros!$E$2+VALUE(MID(F118,2,1))/Parametros!$E$3+VALUE(MID(F118,3,1))/Parametros!$E$4+VALUE(MID(F118,4,1))/Parametros!$E$5)</f>
        <v/>
      </c>
      <c r="J118" s="5">
        <f>IF(G118=0,Parametros!$E$8,Parametros!$E$6+Parametros!$E$6*(Parametros!$E$7/G118+I118)/(Parametros!$E$6+Parametros!$E$7/G118+I118))</f>
        <v/>
      </c>
      <c r="K118" s="2" t="inlineStr">
        <is>
          <t>2026-10-09 12:20</t>
        </is>
      </c>
      <c r="L118" s="6" t="inlineStr">
        <is>
          <t>Válido</t>
        </is>
      </c>
      <c r="M118" s="2">
        <f>IF(L118="Válido","Sim","Não")</f>
        <v/>
      </c>
      <c r="N118" s="2" t="inlineStr"/>
    </row>
    <row r="119">
      <c r="A119" s="2" t="inlineStr">
        <is>
          <t>2Bracos_2700_R1111_80W_2026-10-09_12_20.csv</t>
        </is>
      </c>
      <c r="B119" s="2" t="inlineStr">
        <is>
          <t>80W_2700RPM_R1111</t>
        </is>
      </c>
      <c r="C119" s="2" t="n">
        <v>80</v>
      </c>
      <c r="D119" s="2" t="n">
        <v>2700</v>
      </c>
      <c r="E119" s="3">
        <f>D119*2/60</f>
        <v/>
      </c>
      <c r="F119" s="2" t="inlineStr">
        <is>
          <t>1111</t>
        </is>
      </c>
      <c r="G119" s="2" t="n">
        <v>2</v>
      </c>
      <c r="H119" s="2">
        <f>INDEX(Parametros!$B$2:$B$9,MATCH(G119,Parametros!$A$2:$A$9,0))</f>
        <v/>
      </c>
      <c r="I119" s="4">
        <f>1/(VALUE(MID(F119,1,1))/Parametros!$E$2+VALUE(MID(F119,2,1))/Parametros!$E$3+VALUE(MID(F119,3,1))/Parametros!$E$4+VALUE(MID(F119,4,1))/Parametros!$E$5)</f>
        <v/>
      </c>
      <c r="J119" s="5">
        <f>IF(G119=0,Parametros!$E$8,Parametros!$E$6+Parametros!$E$6*(Parametros!$E$7/G119+I119)/(Parametros!$E$6+Parametros!$E$7/G119+I119))</f>
        <v/>
      </c>
      <c r="K119" s="2" t="inlineStr">
        <is>
          <t>2026-10-09 12:20</t>
        </is>
      </c>
      <c r="L119" s="6" t="inlineStr">
        <is>
          <t>Válido</t>
        </is>
      </c>
      <c r="M119" s="2">
        <f>IF(L119="Válido","Sim","Não")</f>
        <v/>
      </c>
      <c r="N119" s="2" t="inlineStr"/>
    </row>
    <row r="120">
      <c r="A120" s="2" t="inlineStr">
        <is>
          <t>1Bracos_2700_R1111_80W_2026-10-09_12_20.csv</t>
        </is>
      </c>
      <c r="B120" s="2" t="inlineStr">
        <is>
          <t>80W_2700RPM_R1111</t>
        </is>
      </c>
      <c r="C120" s="2" t="n">
        <v>80</v>
      </c>
      <c r="D120" s="2" t="n">
        <v>2700</v>
      </c>
      <c r="E120" s="3">
        <f>D120*2/60</f>
        <v/>
      </c>
      <c r="F120" s="2" t="inlineStr">
        <is>
          <t>1111</t>
        </is>
      </c>
      <c r="G120" s="2" t="n">
        <v>1</v>
      </c>
      <c r="H120" s="2">
        <f>INDEX(Parametros!$B$2:$B$9,MATCH(G120,Parametros!$A$2:$A$9,0))</f>
        <v/>
      </c>
      <c r="I120" s="4">
        <f>1/(VALUE(MID(F120,1,1))/Parametros!$E$2+VALUE(MID(F120,2,1))/Parametros!$E$3+VALUE(MID(F120,3,1))/Parametros!$E$4+VALUE(MID(F120,4,1))/Parametros!$E$5)</f>
        <v/>
      </c>
      <c r="J120" s="5">
        <f>IF(G120=0,Parametros!$E$8,Parametros!$E$6+Parametros!$E$6*(Parametros!$E$7/G120+I120)/(Parametros!$E$6+Parametros!$E$7/G120+I120))</f>
        <v/>
      </c>
      <c r="K120" s="2" t="inlineStr">
        <is>
          <t>2026-10-09 12:20</t>
        </is>
      </c>
      <c r="L120" s="6" t="inlineStr">
        <is>
          <t>Válido</t>
        </is>
      </c>
      <c r="M120" s="2">
        <f>IF(L120="Válido","Sim","Não")</f>
        <v/>
      </c>
      <c r="N120" s="2" t="inlineStr"/>
    </row>
    <row r="121">
      <c r="A121" s="2" t="inlineStr">
        <is>
          <t>0Bracos_2700_R1111_80W_2026-10-09_12_20.csv</t>
        </is>
      </c>
      <c r="B121" s="2" t="inlineStr">
        <is>
          <t>80W_2700RPM_R1111</t>
        </is>
      </c>
      <c r="C121" s="2" t="n">
        <v>80</v>
      </c>
      <c r="D121" s="2" t="n">
        <v>2700</v>
      </c>
      <c r="E121" s="3">
        <f>D121*2/60</f>
        <v/>
      </c>
      <c r="F121" s="2" t="inlineStr">
        <is>
          <t>1111</t>
        </is>
      </c>
      <c r="G121" s="2" t="n">
        <v>0</v>
      </c>
      <c r="H121" s="2">
        <f>INDEX(Parametros!$B$2:$B$9,MATCH(G121,Parametros!$A$2:$A$9,0))</f>
        <v/>
      </c>
      <c r="I121" s="4">
        <f>1/(VALUE(MID(F121,1,1))/Parametros!$E$2+VALUE(MID(F121,2,1))/Parametros!$E$3+VALUE(MID(F121,3,1))/Parametros!$E$4+VALUE(MID(F121,4,1))/Parametros!$E$5)</f>
        <v/>
      </c>
      <c r="J121" s="5">
        <f>IF(G121=0,Parametros!$E$8,Parametros!$E$6+Parametros!$E$6*(Parametros!$E$7/G121+I121)/(Parametros!$E$6+Parametros!$E$7/G121+I121))</f>
        <v/>
      </c>
      <c r="K121" s="2" t="inlineStr">
        <is>
          <t>2026-10-09 12:20</t>
        </is>
      </c>
      <c r="L121" s="6" t="inlineStr">
        <is>
          <t>Válido</t>
        </is>
      </c>
      <c r="M121" s="2">
        <f>IF(L121="Válido","Sim","Não")</f>
        <v/>
      </c>
      <c r="N121" s="2" t="inlineStr"/>
    </row>
    <row r="122">
      <c r="A122" s="2" t="inlineStr">
        <is>
          <t>7Bracos_3000_R0001_80W_2026-10-09_12_20.csv</t>
        </is>
      </c>
      <c r="B122" s="2" t="inlineStr">
        <is>
          <t>80W_3000RPM_R0001</t>
        </is>
      </c>
      <c r="C122" s="2" t="n">
        <v>80</v>
      </c>
      <c r="D122" s="2" t="n">
        <v>3000</v>
      </c>
      <c r="E122" s="3">
        <f>D122*2/60</f>
        <v/>
      </c>
      <c r="F122" s="2" t="inlineStr">
        <is>
          <t>0001</t>
        </is>
      </c>
      <c r="G122" s="2" t="n">
        <v>7</v>
      </c>
      <c r="H122" s="2">
        <f>INDEX(Parametros!$B$2:$B$9,MATCH(G122,Parametros!$A$2:$A$9,0))</f>
        <v/>
      </c>
      <c r="I122" s="4">
        <f>1/(VALUE(MID(F122,1,1))/Parametros!$E$2+VALUE(MID(F122,2,1))/Parametros!$E$3+VALUE(MID(F122,3,1))/Parametros!$E$4+VALUE(MID(F122,4,1))/Parametros!$E$5)</f>
        <v/>
      </c>
      <c r="J122" s="5">
        <f>IF(G122=0,Parametros!$E$8,Parametros!$E$6+Parametros!$E$6*(Parametros!$E$7/G122+I122)/(Parametros!$E$6+Parametros!$E$7/G122+I122))</f>
        <v/>
      </c>
      <c r="K122" s="2" t="inlineStr">
        <is>
          <t>2026-10-09 12:20</t>
        </is>
      </c>
      <c r="L122" s="6" t="inlineStr">
        <is>
          <t>Válido</t>
        </is>
      </c>
      <c r="M122" s="2">
        <f>IF(L122="Válido","Sim","Não")</f>
        <v/>
      </c>
      <c r="N122" s="2" t="inlineStr"/>
    </row>
    <row r="123">
      <c r="A123" s="2" t="inlineStr">
        <is>
          <t>6Bracos_3000_R0001_80W_2026-10-09_12_20.csv</t>
        </is>
      </c>
      <c r="B123" s="2" t="inlineStr">
        <is>
          <t>80W_3000RPM_R0001</t>
        </is>
      </c>
      <c r="C123" s="2" t="n">
        <v>80</v>
      </c>
      <c r="D123" s="2" t="n">
        <v>3000</v>
      </c>
      <c r="E123" s="3">
        <f>D123*2/60</f>
        <v/>
      </c>
      <c r="F123" s="2" t="inlineStr">
        <is>
          <t>0001</t>
        </is>
      </c>
      <c r="G123" s="2" t="n">
        <v>6</v>
      </c>
      <c r="H123" s="2">
        <f>INDEX(Parametros!$B$2:$B$9,MATCH(G123,Parametros!$A$2:$A$9,0))</f>
        <v/>
      </c>
      <c r="I123" s="4">
        <f>1/(VALUE(MID(F123,1,1))/Parametros!$E$2+VALUE(MID(F123,2,1))/Parametros!$E$3+VALUE(MID(F123,3,1))/Parametros!$E$4+VALUE(MID(F123,4,1))/Parametros!$E$5)</f>
        <v/>
      </c>
      <c r="J123" s="5">
        <f>IF(G123=0,Parametros!$E$8,Parametros!$E$6+Parametros!$E$6*(Parametros!$E$7/G123+I123)/(Parametros!$E$6+Parametros!$E$7/G123+I123))</f>
        <v/>
      </c>
      <c r="K123" s="2" t="inlineStr">
        <is>
          <t>2026-10-09 12:20</t>
        </is>
      </c>
      <c r="L123" s="6" t="inlineStr">
        <is>
          <t>Válido</t>
        </is>
      </c>
      <c r="M123" s="2">
        <f>IF(L123="Válido","Sim","Não")</f>
        <v/>
      </c>
      <c r="N123" s="2" t="inlineStr"/>
    </row>
    <row r="124">
      <c r="A124" s="2" t="inlineStr">
        <is>
          <t>5Bracos_3000_R0001_80W_2026-10-09_12_20.csv</t>
        </is>
      </c>
      <c r="B124" s="2" t="inlineStr">
        <is>
          <t>80W_3000RPM_R0001</t>
        </is>
      </c>
      <c r="C124" s="2" t="n">
        <v>80</v>
      </c>
      <c r="D124" s="2" t="n">
        <v>3000</v>
      </c>
      <c r="E124" s="3">
        <f>D124*2/60</f>
        <v/>
      </c>
      <c r="F124" s="2" t="inlineStr">
        <is>
          <t>0001</t>
        </is>
      </c>
      <c r="G124" s="2" t="n">
        <v>5</v>
      </c>
      <c r="H124" s="2">
        <f>INDEX(Parametros!$B$2:$B$9,MATCH(G124,Parametros!$A$2:$A$9,0))</f>
        <v/>
      </c>
      <c r="I124" s="4">
        <f>1/(VALUE(MID(F124,1,1))/Parametros!$E$2+VALUE(MID(F124,2,1))/Parametros!$E$3+VALUE(MID(F124,3,1))/Parametros!$E$4+VALUE(MID(F124,4,1))/Parametros!$E$5)</f>
        <v/>
      </c>
      <c r="J124" s="5">
        <f>IF(G124=0,Parametros!$E$8,Parametros!$E$6+Parametros!$E$6*(Parametros!$E$7/G124+I124)/(Parametros!$E$6+Parametros!$E$7/G124+I124))</f>
        <v/>
      </c>
      <c r="K124" s="2" t="inlineStr">
        <is>
          <t>2026-10-09 12:20</t>
        </is>
      </c>
      <c r="L124" s="6" t="inlineStr">
        <is>
          <t>Válido</t>
        </is>
      </c>
      <c r="M124" s="2">
        <f>IF(L124="Válido","Sim","Não")</f>
        <v/>
      </c>
      <c r="N124" s="2" t="inlineStr"/>
    </row>
    <row r="125">
      <c r="A125" s="2" t="inlineStr">
        <is>
          <t>4Bracos_3000_R0001_80W_2026-10-09_12_20.csv</t>
        </is>
      </c>
      <c r="B125" s="2" t="inlineStr">
        <is>
          <t>80W_3000RPM_R0001</t>
        </is>
      </c>
      <c r="C125" s="2" t="n">
        <v>80</v>
      </c>
      <c r="D125" s="2" t="n">
        <v>3000</v>
      </c>
      <c r="E125" s="3">
        <f>D125*2/60</f>
        <v/>
      </c>
      <c r="F125" s="2" t="inlineStr">
        <is>
          <t>0001</t>
        </is>
      </c>
      <c r="G125" s="2" t="n">
        <v>4</v>
      </c>
      <c r="H125" s="2">
        <f>INDEX(Parametros!$B$2:$B$9,MATCH(G125,Parametros!$A$2:$A$9,0))</f>
        <v/>
      </c>
      <c r="I125" s="4">
        <f>1/(VALUE(MID(F125,1,1))/Parametros!$E$2+VALUE(MID(F125,2,1))/Parametros!$E$3+VALUE(MID(F125,3,1))/Parametros!$E$4+VALUE(MID(F125,4,1))/Parametros!$E$5)</f>
        <v/>
      </c>
      <c r="J125" s="5">
        <f>IF(G125=0,Parametros!$E$8,Parametros!$E$6+Parametros!$E$6*(Parametros!$E$7/G125+I125)/(Parametros!$E$6+Parametros!$E$7/G125+I125))</f>
        <v/>
      </c>
      <c r="K125" s="2" t="inlineStr">
        <is>
          <t>2026-10-09 12:20</t>
        </is>
      </c>
      <c r="L125" s="6" t="inlineStr">
        <is>
          <t>Válido</t>
        </is>
      </c>
      <c r="M125" s="2">
        <f>IF(L125="Válido","Sim","Não")</f>
        <v/>
      </c>
      <c r="N125" s="2" t="inlineStr"/>
    </row>
    <row r="126">
      <c r="A126" s="2" t="inlineStr">
        <is>
          <t>3Bracos_3000_R0001_80W_2026-10-09_12_20.csv</t>
        </is>
      </c>
      <c r="B126" s="2" t="inlineStr">
        <is>
          <t>80W_3000RPM_R0001</t>
        </is>
      </c>
      <c r="C126" s="2" t="n">
        <v>80</v>
      </c>
      <c r="D126" s="2" t="n">
        <v>3000</v>
      </c>
      <c r="E126" s="3">
        <f>D126*2/60</f>
        <v/>
      </c>
      <c r="F126" s="2" t="inlineStr">
        <is>
          <t>0001</t>
        </is>
      </c>
      <c r="G126" s="2" t="n">
        <v>3</v>
      </c>
      <c r="H126" s="2">
        <f>INDEX(Parametros!$B$2:$B$9,MATCH(G126,Parametros!$A$2:$A$9,0))</f>
        <v/>
      </c>
      <c r="I126" s="4">
        <f>1/(VALUE(MID(F126,1,1))/Parametros!$E$2+VALUE(MID(F126,2,1))/Parametros!$E$3+VALUE(MID(F126,3,1))/Parametros!$E$4+VALUE(MID(F126,4,1))/Parametros!$E$5)</f>
        <v/>
      </c>
      <c r="J126" s="5">
        <f>IF(G126=0,Parametros!$E$8,Parametros!$E$6+Parametros!$E$6*(Parametros!$E$7/G126+I126)/(Parametros!$E$6+Parametros!$E$7/G126+I126))</f>
        <v/>
      </c>
      <c r="K126" s="2" t="inlineStr">
        <is>
          <t>2026-10-09 12:20</t>
        </is>
      </c>
      <c r="L126" s="6" t="inlineStr">
        <is>
          <t>Válido</t>
        </is>
      </c>
      <c r="M126" s="2">
        <f>IF(L126="Válido","Sim","Não")</f>
        <v/>
      </c>
      <c r="N126" s="2" t="inlineStr"/>
    </row>
    <row r="127">
      <c r="A127" s="2" t="inlineStr">
        <is>
          <t>2Bracos_3000_R0001_80W_2026-10-09_12_20.csv</t>
        </is>
      </c>
      <c r="B127" s="2" t="inlineStr">
        <is>
          <t>80W_3000RPM_R0001</t>
        </is>
      </c>
      <c r="C127" s="2" t="n">
        <v>80</v>
      </c>
      <c r="D127" s="2" t="n">
        <v>3000</v>
      </c>
      <c r="E127" s="3">
        <f>D127*2/60</f>
        <v/>
      </c>
      <c r="F127" s="2" t="inlineStr">
        <is>
          <t>0001</t>
        </is>
      </c>
      <c r="G127" s="2" t="n">
        <v>2</v>
      </c>
      <c r="H127" s="2">
        <f>INDEX(Parametros!$B$2:$B$9,MATCH(G127,Parametros!$A$2:$A$9,0))</f>
        <v/>
      </c>
      <c r="I127" s="4">
        <f>1/(VALUE(MID(F127,1,1))/Parametros!$E$2+VALUE(MID(F127,2,1))/Parametros!$E$3+VALUE(MID(F127,3,1))/Parametros!$E$4+VALUE(MID(F127,4,1))/Parametros!$E$5)</f>
        <v/>
      </c>
      <c r="J127" s="5">
        <f>IF(G127=0,Parametros!$E$8,Parametros!$E$6+Parametros!$E$6*(Parametros!$E$7/G127+I127)/(Parametros!$E$6+Parametros!$E$7/G127+I127))</f>
        <v/>
      </c>
      <c r="K127" s="2" t="inlineStr">
        <is>
          <t>2026-10-09 12:20</t>
        </is>
      </c>
      <c r="L127" s="6" t="inlineStr">
        <is>
          <t>Válido</t>
        </is>
      </c>
      <c r="M127" s="2">
        <f>IF(L127="Válido","Sim","Não")</f>
        <v/>
      </c>
      <c r="N127" s="2" t="inlineStr"/>
    </row>
    <row r="128">
      <c r="A128" s="2" t="inlineStr">
        <is>
          <t>1Bracos_3000_R0001_80W_2026-10-09_12_20.csv</t>
        </is>
      </c>
      <c r="B128" s="2" t="inlineStr">
        <is>
          <t>80W_3000RPM_R0001</t>
        </is>
      </c>
      <c r="C128" s="2" t="n">
        <v>80</v>
      </c>
      <c r="D128" s="2" t="n">
        <v>3000</v>
      </c>
      <c r="E128" s="3">
        <f>D128*2/60</f>
        <v/>
      </c>
      <c r="F128" s="2" t="inlineStr">
        <is>
          <t>0001</t>
        </is>
      </c>
      <c r="G128" s="2" t="n">
        <v>1</v>
      </c>
      <c r="H128" s="2">
        <f>INDEX(Parametros!$B$2:$B$9,MATCH(G128,Parametros!$A$2:$A$9,0))</f>
        <v/>
      </c>
      <c r="I128" s="4">
        <f>1/(VALUE(MID(F128,1,1))/Parametros!$E$2+VALUE(MID(F128,2,1))/Parametros!$E$3+VALUE(MID(F128,3,1))/Parametros!$E$4+VALUE(MID(F128,4,1))/Parametros!$E$5)</f>
        <v/>
      </c>
      <c r="J128" s="5">
        <f>IF(G128=0,Parametros!$E$8,Parametros!$E$6+Parametros!$E$6*(Parametros!$E$7/G128+I128)/(Parametros!$E$6+Parametros!$E$7/G128+I128))</f>
        <v/>
      </c>
      <c r="K128" s="2" t="inlineStr">
        <is>
          <t>2026-10-09 12:20</t>
        </is>
      </c>
      <c r="L128" s="6" t="inlineStr">
        <is>
          <t>Válido</t>
        </is>
      </c>
      <c r="M128" s="2">
        <f>IF(L128="Válido","Sim","Não")</f>
        <v/>
      </c>
      <c r="N128" s="2" t="inlineStr"/>
    </row>
    <row r="129">
      <c r="A129" s="2" t="inlineStr">
        <is>
          <t>0Bracos_3000_R0001_80W_2026-10-09_12_20.csv</t>
        </is>
      </c>
      <c r="B129" s="2" t="inlineStr">
        <is>
          <t>80W_3000RPM_R0001</t>
        </is>
      </c>
      <c r="C129" s="2" t="n">
        <v>80</v>
      </c>
      <c r="D129" s="2" t="n">
        <v>3000</v>
      </c>
      <c r="E129" s="3">
        <f>D129*2/60</f>
        <v/>
      </c>
      <c r="F129" s="2" t="inlineStr">
        <is>
          <t>0001</t>
        </is>
      </c>
      <c r="G129" s="2" t="n">
        <v>0</v>
      </c>
      <c r="H129" s="2">
        <f>INDEX(Parametros!$B$2:$B$9,MATCH(G129,Parametros!$A$2:$A$9,0))</f>
        <v/>
      </c>
      <c r="I129" s="4">
        <f>1/(VALUE(MID(F129,1,1))/Parametros!$E$2+VALUE(MID(F129,2,1))/Parametros!$E$3+VALUE(MID(F129,3,1))/Parametros!$E$4+VALUE(MID(F129,4,1))/Parametros!$E$5)</f>
        <v/>
      </c>
      <c r="J129" s="5">
        <f>IF(G129=0,Parametros!$E$8,Parametros!$E$6+Parametros!$E$6*(Parametros!$E$7/G129+I129)/(Parametros!$E$6+Parametros!$E$7/G129+I129))</f>
        <v/>
      </c>
      <c r="K129" s="2" t="inlineStr">
        <is>
          <t>2026-10-09 12:20</t>
        </is>
      </c>
      <c r="L129" s="6" t="inlineStr">
        <is>
          <t>Válido</t>
        </is>
      </c>
      <c r="M129" s="2">
        <f>IF(L129="Válido","Sim","Não")</f>
        <v/>
      </c>
      <c r="N129" s="2" t="inlineStr"/>
    </row>
    <row r="130">
      <c r="A130" s="2" t="inlineStr">
        <is>
          <t>7Bracos_3000_R0001_80W_2026-09-28_10_00.csv</t>
        </is>
      </c>
      <c r="B130" s="2" t="inlineStr">
        <is>
          <t>80W_3000RPM_R0001</t>
        </is>
      </c>
      <c r="C130" s="2" t="n">
        <v>80</v>
      </c>
      <c r="D130" s="2" t="n">
        <v>3000</v>
      </c>
      <c r="E130" s="3">
        <f>D130*2/60</f>
        <v/>
      </c>
      <c r="F130" s="2" t="inlineStr">
        <is>
          <t>0001</t>
        </is>
      </c>
      <c r="G130" s="2" t="n">
        <v>7</v>
      </c>
      <c r="H130" s="2">
        <f>INDEX(Parametros!$B$2:$B$9,MATCH(G130,Parametros!$A$2:$A$9,0))</f>
        <v/>
      </c>
      <c r="I130" s="4">
        <f>1/(VALUE(MID(F130,1,1))/Parametros!$E$2+VALUE(MID(F130,2,1))/Parametros!$E$3+VALUE(MID(F130,3,1))/Parametros!$E$4+VALUE(MID(F130,4,1))/Parametros!$E$5)</f>
        <v/>
      </c>
      <c r="J130" s="5">
        <f>IF(G130=0,Parametros!$E$8,Parametros!$E$6+Parametros!$E$6*(Parametros!$E$7/G130+I130)/(Parametros!$E$6+Parametros!$E$7/G130+I130))</f>
        <v/>
      </c>
      <c r="K130" s="2" t="inlineStr">
        <is>
          <t>2026-09-28 10:00</t>
        </is>
      </c>
      <c r="L130" s="8" t="inlineStr">
        <is>
          <t>Substituído (refeito)</t>
        </is>
      </c>
      <c r="M130" s="2">
        <f>IF(L130="Válido","Sim","Não")</f>
        <v/>
      </c>
      <c r="N130" s="2" t="inlineStr">
        <is>
          <t>Existe ensaio mais novo para a mesma condição</t>
        </is>
      </c>
    </row>
    <row r="131">
      <c r="A131" s="2" t="inlineStr">
        <is>
          <t>6Bracos_3000_R0001_80W_2026-09-28_10_00.csv</t>
        </is>
      </c>
      <c r="B131" s="2" t="inlineStr">
        <is>
          <t>80W_3000RPM_R0001</t>
        </is>
      </c>
      <c r="C131" s="2" t="n">
        <v>80</v>
      </c>
      <c r="D131" s="2" t="n">
        <v>3000</v>
      </c>
      <c r="E131" s="3">
        <f>D131*2/60</f>
        <v/>
      </c>
      <c r="F131" s="2" t="inlineStr">
        <is>
          <t>0001</t>
        </is>
      </c>
      <c r="G131" s="2" t="n">
        <v>6</v>
      </c>
      <c r="H131" s="2">
        <f>INDEX(Parametros!$B$2:$B$9,MATCH(G131,Parametros!$A$2:$A$9,0))</f>
        <v/>
      </c>
      <c r="I131" s="4">
        <f>1/(VALUE(MID(F131,1,1))/Parametros!$E$2+VALUE(MID(F131,2,1))/Parametros!$E$3+VALUE(MID(F131,3,1))/Parametros!$E$4+VALUE(MID(F131,4,1))/Parametros!$E$5)</f>
        <v/>
      </c>
      <c r="J131" s="5">
        <f>IF(G131=0,Parametros!$E$8,Parametros!$E$6+Parametros!$E$6*(Parametros!$E$7/G131+I131)/(Parametros!$E$6+Parametros!$E$7/G131+I131))</f>
        <v/>
      </c>
      <c r="K131" s="2" t="inlineStr">
        <is>
          <t>2026-09-28 10:00</t>
        </is>
      </c>
      <c r="L131" s="8" t="inlineStr">
        <is>
          <t>Substituído (refeito)</t>
        </is>
      </c>
      <c r="M131" s="2">
        <f>IF(L131="Válido","Sim","Não")</f>
        <v/>
      </c>
      <c r="N131" s="2" t="inlineStr">
        <is>
          <t>Existe ensaio mais novo para a mesma condição</t>
        </is>
      </c>
    </row>
    <row r="132">
      <c r="A132" s="2" t="inlineStr">
        <is>
          <t>5Bracos_3000_R0001_80W_2026-09-28_10_00.csv</t>
        </is>
      </c>
      <c r="B132" s="2" t="inlineStr">
        <is>
          <t>80W_3000RPM_R0001</t>
        </is>
      </c>
      <c r="C132" s="2" t="n">
        <v>80</v>
      </c>
      <c r="D132" s="2" t="n">
        <v>3000</v>
      </c>
      <c r="E132" s="3">
        <f>D132*2/60</f>
        <v/>
      </c>
      <c r="F132" s="2" t="inlineStr">
        <is>
          <t>0001</t>
        </is>
      </c>
      <c r="G132" s="2" t="n">
        <v>5</v>
      </c>
      <c r="H132" s="2">
        <f>INDEX(Parametros!$B$2:$B$9,MATCH(G132,Parametros!$A$2:$A$9,0))</f>
        <v/>
      </c>
      <c r="I132" s="4">
        <f>1/(VALUE(MID(F132,1,1))/Parametros!$E$2+VALUE(MID(F132,2,1))/Parametros!$E$3+VALUE(MID(F132,3,1))/Parametros!$E$4+VALUE(MID(F132,4,1))/Parametros!$E$5)</f>
        <v/>
      </c>
      <c r="J132" s="5">
        <f>IF(G132=0,Parametros!$E$8,Parametros!$E$6+Parametros!$E$6*(Parametros!$E$7/G132+I132)/(Parametros!$E$6+Parametros!$E$7/G132+I132))</f>
        <v/>
      </c>
      <c r="K132" s="2" t="inlineStr">
        <is>
          <t>2026-09-28 10:00</t>
        </is>
      </c>
      <c r="L132" s="8" t="inlineStr">
        <is>
          <t>Substituído (refeito)</t>
        </is>
      </c>
      <c r="M132" s="2">
        <f>IF(L132="Válido","Sim","Não")</f>
        <v/>
      </c>
      <c r="N132" s="2" t="inlineStr">
        <is>
          <t>Existe ensaio mais novo para a mesma condição</t>
        </is>
      </c>
    </row>
    <row r="133">
      <c r="A133" s="2" t="inlineStr">
        <is>
          <t>4Bracos_3000_R0001_80W_2026-09-28_10_00.csv</t>
        </is>
      </c>
      <c r="B133" s="2" t="inlineStr">
        <is>
          <t>80W_3000RPM_R0001</t>
        </is>
      </c>
      <c r="C133" s="2" t="n">
        <v>80</v>
      </c>
      <c r="D133" s="2" t="n">
        <v>3000</v>
      </c>
      <c r="E133" s="3">
        <f>D133*2/60</f>
        <v/>
      </c>
      <c r="F133" s="2" t="inlineStr">
        <is>
          <t>0001</t>
        </is>
      </c>
      <c r="G133" s="2" t="n">
        <v>4</v>
      </c>
      <c r="H133" s="2">
        <f>INDEX(Parametros!$B$2:$B$9,MATCH(G133,Parametros!$A$2:$A$9,0))</f>
        <v/>
      </c>
      <c r="I133" s="4">
        <f>1/(VALUE(MID(F133,1,1))/Parametros!$E$2+VALUE(MID(F133,2,1))/Parametros!$E$3+VALUE(MID(F133,3,1))/Parametros!$E$4+VALUE(MID(F133,4,1))/Parametros!$E$5)</f>
        <v/>
      </c>
      <c r="J133" s="5">
        <f>IF(G133=0,Parametros!$E$8,Parametros!$E$6+Parametros!$E$6*(Parametros!$E$7/G133+I133)/(Parametros!$E$6+Parametros!$E$7/G133+I133))</f>
        <v/>
      </c>
      <c r="K133" s="2" t="inlineStr">
        <is>
          <t>2026-09-28 10:00</t>
        </is>
      </c>
      <c r="L133" s="8" t="inlineStr">
        <is>
          <t>Substituído (refeito)</t>
        </is>
      </c>
      <c r="M133" s="2">
        <f>IF(L133="Válido","Sim","Não")</f>
        <v/>
      </c>
      <c r="N133" s="2" t="inlineStr">
        <is>
          <t>Existe ensaio mais novo para a mesma condição</t>
        </is>
      </c>
    </row>
    <row r="134">
      <c r="A134" s="2" t="inlineStr">
        <is>
          <t>3Bracos_3000_R0001_80W_2026-09-28_10_00.csv</t>
        </is>
      </c>
      <c r="B134" s="2" t="inlineStr">
        <is>
          <t>80W_3000RPM_R0001</t>
        </is>
      </c>
      <c r="C134" s="2" t="n">
        <v>80</v>
      </c>
      <c r="D134" s="2" t="n">
        <v>3000</v>
      </c>
      <c r="E134" s="3">
        <f>D134*2/60</f>
        <v/>
      </c>
      <c r="F134" s="2" t="inlineStr">
        <is>
          <t>0001</t>
        </is>
      </c>
      <c r="G134" s="2" t="n">
        <v>3</v>
      </c>
      <c r="H134" s="2">
        <f>INDEX(Parametros!$B$2:$B$9,MATCH(G134,Parametros!$A$2:$A$9,0))</f>
        <v/>
      </c>
      <c r="I134" s="4">
        <f>1/(VALUE(MID(F134,1,1))/Parametros!$E$2+VALUE(MID(F134,2,1))/Parametros!$E$3+VALUE(MID(F134,3,1))/Parametros!$E$4+VALUE(MID(F134,4,1))/Parametros!$E$5)</f>
        <v/>
      </c>
      <c r="J134" s="5">
        <f>IF(G134=0,Parametros!$E$8,Parametros!$E$6+Parametros!$E$6*(Parametros!$E$7/G134+I134)/(Parametros!$E$6+Parametros!$E$7/G134+I134))</f>
        <v/>
      </c>
      <c r="K134" s="2" t="inlineStr">
        <is>
          <t>2026-09-28 10:00</t>
        </is>
      </c>
      <c r="L134" s="8" t="inlineStr">
        <is>
          <t>Substituído (refeito)</t>
        </is>
      </c>
      <c r="M134" s="2">
        <f>IF(L134="Válido","Sim","Não")</f>
        <v/>
      </c>
      <c r="N134" s="2" t="inlineStr">
        <is>
          <t>Existe ensaio mais novo para a mesma condição</t>
        </is>
      </c>
    </row>
    <row r="135">
      <c r="A135" s="2" t="inlineStr">
        <is>
          <t>2Bracos_3000_R0001_80W_2026-09-28_10_00.csv</t>
        </is>
      </c>
      <c r="B135" s="2" t="inlineStr">
        <is>
          <t>80W_3000RPM_R0001</t>
        </is>
      </c>
      <c r="C135" s="2" t="n">
        <v>80</v>
      </c>
      <c r="D135" s="2" t="n">
        <v>3000</v>
      </c>
      <c r="E135" s="3">
        <f>D135*2/60</f>
        <v/>
      </c>
      <c r="F135" s="2" t="inlineStr">
        <is>
          <t>0001</t>
        </is>
      </c>
      <c r="G135" s="2" t="n">
        <v>2</v>
      </c>
      <c r="H135" s="2">
        <f>INDEX(Parametros!$B$2:$B$9,MATCH(G135,Parametros!$A$2:$A$9,0))</f>
        <v/>
      </c>
      <c r="I135" s="4">
        <f>1/(VALUE(MID(F135,1,1))/Parametros!$E$2+VALUE(MID(F135,2,1))/Parametros!$E$3+VALUE(MID(F135,3,1))/Parametros!$E$4+VALUE(MID(F135,4,1))/Parametros!$E$5)</f>
        <v/>
      </c>
      <c r="J135" s="5">
        <f>IF(G135=0,Parametros!$E$8,Parametros!$E$6+Parametros!$E$6*(Parametros!$E$7/G135+I135)/(Parametros!$E$6+Parametros!$E$7/G135+I135))</f>
        <v/>
      </c>
      <c r="K135" s="2" t="inlineStr">
        <is>
          <t>2026-09-28 10:00</t>
        </is>
      </c>
      <c r="L135" s="8" t="inlineStr">
        <is>
          <t>Substituído (refeito)</t>
        </is>
      </c>
      <c r="M135" s="2">
        <f>IF(L135="Válido","Sim","Não")</f>
        <v/>
      </c>
      <c r="N135" s="2" t="inlineStr">
        <is>
          <t>Existe ensaio mais novo para a mesma condição</t>
        </is>
      </c>
    </row>
    <row r="136">
      <c r="A136" s="2" t="inlineStr">
        <is>
          <t>1Bracos_3000_R0001_80W_2026-09-28_10_00.csv</t>
        </is>
      </c>
      <c r="B136" s="2" t="inlineStr">
        <is>
          <t>80W_3000RPM_R0001</t>
        </is>
      </c>
      <c r="C136" s="2" t="n">
        <v>80</v>
      </c>
      <c r="D136" s="2" t="n">
        <v>3000</v>
      </c>
      <c r="E136" s="3">
        <f>D136*2/60</f>
        <v/>
      </c>
      <c r="F136" s="2" t="inlineStr">
        <is>
          <t>0001</t>
        </is>
      </c>
      <c r="G136" s="2" t="n">
        <v>1</v>
      </c>
      <c r="H136" s="2">
        <f>INDEX(Parametros!$B$2:$B$9,MATCH(G136,Parametros!$A$2:$A$9,0))</f>
        <v/>
      </c>
      <c r="I136" s="4">
        <f>1/(VALUE(MID(F136,1,1))/Parametros!$E$2+VALUE(MID(F136,2,1))/Parametros!$E$3+VALUE(MID(F136,3,1))/Parametros!$E$4+VALUE(MID(F136,4,1))/Parametros!$E$5)</f>
        <v/>
      </c>
      <c r="J136" s="5">
        <f>IF(G136=0,Parametros!$E$8,Parametros!$E$6+Parametros!$E$6*(Parametros!$E$7/G136+I136)/(Parametros!$E$6+Parametros!$E$7/G136+I136))</f>
        <v/>
      </c>
      <c r="K136" s="2" t="inlineStr">
        <is>
          <t>2026-09-28 10:00</t>
        </is>
      </c>
      <c r="L136" s="8" t="inlineStr">
        <is>
          <t>Substituído (refeito)</t>
        </is>
      </c>
      <c r="M136" s="2">
        <f>IF(L136="Válido","Sim","Não")</f>
        <v/>
      </c>
      <c r="N136" s="2" t="inlineStr">
        <is>
          <t>Existe ensaio mais novo para a mesma condição</t>
        </is>
      </c>
    </row>
    <row r="137">
      <c r="A137" s="2" t="inlineStr">
        <is>
          <t>0Bracos_3000_R0001_80W_2026-09-28_10_00.csv</t>
        </is>
      </c>
      <c r="B137" s="2" t="inlineStr">
        <is>
          <t>80W_3000RPM_R0001</t>
        </is>
      </c>
      <c r="C137" s="2" t="n">
        <v>80</v>
      </c>
      <c r="D137" s="2" t="n">
        <v>3000</v>
      </c>
      <c r="E137" s="3">
        <f>D137*2/60</f>
        <v/>
      </c>
      <c r="F137" s="2" t="inlineStr">
        <is>
          <t>0001</t>
        </is>
      </c>
      <c r="G137" s="2" t="n">
        <v>0</v>
      </c>
      <c r="H137" s="2">
        <f>INDEX(Parametros!$B$2:$B$9,MATCH(G137,Parametros!$A$2:$A$9,0))</f>
        <v/>
      </c>
      <c r="I137" s="4">
        <f>1/(VALUE(MID(F137,1,1))/Parametros!$E$2+VALUE(MID(F137,2,1))/Parametros!$E$3+VALUE(MID(F137,3,1))/Parametros!$E$4+VALUE(MID(F137,4,1))/Parametros!$E$5)</f>
        <v/>
      </c>
      <c r="J137" s="5">
        <f>IF(G137=0,Parametros!$E$8,Parametros!$E$6+Parametros!$E$6*(Parametros!$E$7/G137+I137)/(Parametros!$E$6+Parametros!$E$7/G137+I137))</f>
        <v/>
      </c>
      <c r="K137" s="2" t="inlineStr">
        <is>
          <t>2026-09-28 10:00</t>
        </is>
      </c>
      <c r="L137" s="8" t="inlineStr">
        <is>
          <t>Substituído (refeito)</t>
        </is>
      </c>
      <c r="M137" s="2">
        <f>IF(L137="Válido","Sim","Não")</f>
        <v/>
      </c>
      <c r="N137" s="2" t="inlineStr">
        <is>
          <t>Existe ensaio mais novo para a mesma condição</t>
        </is>
      </c>
    </row>
    <row r="138">
      <c r="A138" s="2" t="inlineStr">
        <is>
          <t>7Bracos_3000_R0010_80W_2026-09-28_10_00.csv</t>
        </is>
      </c>
      <c r="B138" s="2" t="inlineStr">
        <is>
          <t>80W_3000RPM_R0010</t>
        </is>
      </c>
      <c r="C138" s="2" t="n">
        <v>80</v>
      </c>
      <c r="D138" s="2" t="n">
        <v>3000</v>
      </c>
      <c r="E138" s="3">
        <f>D138*2/60</f>
        <v/>
      </c>
      <c r="F138" s="2" t="inlineStr">
        <is>
          <t>0010</t>
        </is>
      </c>
      <c r="G138" s="2" t="n">
        <v>7</v>
      </c>
      <c r="H138" s="2">
        <f>INDEX(Parametros!$B$2:$B$9,MATCH(G138,Parametros!$A$2:$A$9,0))</f>
        <v/>
      </c>
      <c r="I138" s="4">
        <f>1/(VALUE(MID(F138,1,1))/Parametros!$E$2+VALUE(MID(F138,2,1))/Parametros!$E$3+VALUE(MID(F138,3,1))/Parametros!$E$4+VALUE(MID(F138,4,1))/Parametros!$E$5)</f>
        <v/>
      </c>
      <c r="J138" s="5">
        <f>IF(G138=0,Parametros!$E$8,Parametros!$E$6+Parametros!$E$6*(Parametros!$E$7/G138+I138)/(Parametros!$E$6+Parametros!$E$7/G138+I138))</f>
        <v/>
      </c>
      <c r="K138" s="2" t="inlineStr">
        <is>
          <t>2026-09-28 10:00</t>
        </is>
      </c>
      <c r="L138" s="7" t="inlineStr">
        <is>
          <t>Patamar baixo de ripple (suspeita DAQ)</t>
        </is>
      </c>
      <c r="M138" s="2">
        <f>IF(L138="Válido","Sim","Não")</f>
        <v/>
      </c>
      <c r="N138" s="2" t="inlineStr">
        <is>
          <t>Ripple x C mediano da config = 501 (esperado ~730 a 80W)</t>
        </is>
      </c>
    </row>
    <row r="139">
      <c r="A139" s="2" t="inlineStr">
        <is>
          <t>6Bracos_3000_R0010_80W_2026-09-28_10_00.csv</t>
        </is>
      </c>
      <c r="B139" s="2" t="inlineStr">
        <is>
          <t>80W_3000RPM_R0010</t>
        </is>
      </c>
      <c r="C139" s="2" t="n">
        <v>80</v>
      </c>
      <c r="D139" s="2" t="n">
        <v>3000</v>
      </c>
      <c r="E139" s="3">
        <f>D139*2/60</f>
        <v/>
      </c>
      <c r="F139" s="2" t="inlineStr">
        <is>
          <t>0010</t>
        </is>
      </c>
      <c r="G139" s="2" t="n">
        <v>6</v>
      </c>
      <c r="H139" s="2">
        <f>INDEX(Parametros!$B$2:$B$9,MATCH(G139,Parametros!$A$2:$A$9,0))</f>
        <v/>
      </c>
      <c r="I139" s="4">
        <f>1/(VALUE(MID(F139,1,1))/Parametros!$E$2+VALUE(MID(F139,2,1))/Parametros!$E$3+VALUE(MID(F139,3,1))/Parametros!$E$4+VALUE(MID(F139,4,1))/Parametros!$E$5)</f>
        <v/>
      </c>
      <c r="J139" s="5">
        <f>IF(G139=0,Parametros!$E$8,Parametros!$E$6+Parametros!$E$6*(Parametros!$E$7/G139+I139)/(Parametros!$E$6+Parametros!$E$7/G139+I139))</f>
        <v/>
      </c>
      <c r="K139" s="2" t="inlineStr">
        <is>
          <t>2026-09-28 10:00</t>
        </is>
      </c>
      <c r="L139" s="7" t="inlineStr">
        <is>
          <t>Patamar baixo de ripple (suspeita DAQ)</t>
        </is>
      </c>
      <c r="M139" s="2">
        <f>IF(L139="Válido","Sim","Não")</f>
        <v/>
      </c>
      <c r="N139" s="2" t="inlineStr">
        <is>
          <t>Ripple x C mediano da config = 501 (esperado ~730 a 80W)</t>
        </is>
      </c>
    </row>
    <row r="140">
      <c r="A140" s="2" t="inlineStr">
        <is>
          <t>5Bracos_3000_R0010_80W_2026-09-28_10_00.csv</t>
        </is>
      </c>
      <c r="B140" s="2" t="inlineStr">
        <is>
          <t>80W_3000RPM_R0010</t>
        </is>
      </c>
      <c r="C140" s="2" t="n">
        <v>80</v>
      </c>
      <c r="D140" s="2" t="n">
        <v>3000</v>
      </c>
      <c r="E140" s="3">
        <f>D140*2/60</f>
        <v/>
      </c>
      <c r="F140" s="2" t="inlineStr">
        <is>
          <t>0010</t>
        </is>
      </c>
      <c r="G140" s="2" t="n">
        <v>5</v>
      </c>
      <c r="H140" s="2">
        <f>INDEX(Parametros!$B$2:$B$9,MATCH(G140,Parametros!$A$2:$A$9,0))</f>
        <v/>
      </c>
      <c r="I140" s="4">
        <f>1/(VALUE(MID(F140,1,1))/Parametros!$E$2+VALUE(MID(F140,2,1))/Parametros!$E$3+VALUE(MID(F140,3,1))/Parametros!$E$4+VALUE(MID(F140,4,1))/Parametros!$E$5)</f>
        <v/>
      </c>
      <c r="J140" s="5">
        <f>IF(G140=0,Parametros!$E$8,Parametros!$E$6+Parametros!$E$6*(Parametros!$E$7/G140+I140)/(Parametros!$E$6+Parametros!$E$7/G140+I140))</f>
        <v/>
      </c>
      <c r="K140" s="2" t="inlineStr">
        <is>
          <t>2026-09-28 10:00</t>
        </is>
      </c>
      <c r="L140" s="7" t="inlineStr">
        <is>
          <t>Patamar baixo de ripple (suspeita DAQ)</t>
        </is>
      </c>
      <c r="M140" s="2">
        <f>IF(L140="Válido","Sim","Não")</f>
        <v/>
      </c>
      <c r="N140" s="2" t="inlineStr">
        <is>
          <t>Ripple x C mediano da config = 501 (esperado ~730 a 80W)</t>
        </is>
      </c>
    </row>
    <row r="141">
      <c r="A141" s="2" t="inlineStr">
        <is>
          <t>4Bracos_3000_R0010_80W_2026-09-28_10_00.csv</t>
        </is>
      </c>
      <c r="B141" s="2" t="inlineStr">
        <is>
          <t>80W_3000RPM_R0010</t>
        </is>
      </c>
      <c r="C141" s="2" t="n">
        <v>80</v>
      </c>
      <c r="D141" s="2" t="n">
        <v>3000</v>
      </c>
      <c r="E141" s="3">
        <f>D141*2/60</f>
        <v/>
      </c>
      <c r="F141" s="2" t="inlineStr">
        <is>
          <t>0010</t>
        </is>
      </c>
      <c r="G141" s="2" t="n">
        <v>4</v>
      </c>
      <c r="H141" s="2">
        <f>INDEX(Parametros!$B$2:$B$9,MATCH(G141,Parametros!$A$2:$A$9,0))</f>
        <v/>
      </c>
      <c r="I141" s="4">
        <f>1/(VALUE(MID(F141,1,1))/Parametros!$E$2+VALUE(MID(F141,2,1))/Parametros!$E$3+VALUE(MID(F141,3,1))/Parametros!$E$4+VALUE(MID(F141,4,1))/Parametros!$E$5)</f>
        <v/>
      </c>
      <c r="J141" s="5">
        <f>IF(G141=0,Parametros!$E$8,Parametros!$E$6+Parametros!$E$6*(Parametros!$E$7/G141+I141)/(Parametros!$E$6+Parametros!$E$7/G141+I141))</f>
        <v/>
      </c>
      <c r="K141" s="2" t="inlineStr">
        <is>
          <t>2026-09-28 10:00</t>
        </is>
      </c>
      <c r="L141" s="7" t="inlineStr">
        <is>
          <t>Patamar baixo de ripple (suspeita DAQ)</t>
        </is>
      </c>
      <c r="M141" s="2">
        <f>IF(L141="Válido","Sim","Não")</f>
        <v/>
      </c>
      <c r="N141" s="2" t="inlineStr">
        <is>
          <t>Ripple x C mediano da config = 501 (esperado ~730 a 80W)</t>
        </is>
      </c>
    </row>
    <row r="142">
      <c r="A142" s="2" t="inlineStr">
        <is>
          <t>3Bracos_3000_R0010_80W_2026-09-28_10_00.csv</t>
        </is>
      </c>
      <c r="B142" s="2" t="inlineStr">
        <is>
          <t>80W_3000RPM_R0010</t>
        </is>
      </c>
      <c r="C142" s="2" t="n">
        <v>80</v>
      </c>
      <c r="D142" s="2" t="n">
        <v>3000</v>
      </c>
      <c r="E142" s="3">
        <f>D142*2/60</f>
        <v/>
      </c>
      <c r="F142" s="2" t="inlineStr">
        <is>
          <t>0010</t>
        </is>
      </c>
      <c r="G142" s="2" t="n">
        <v>3</v>
      </c>
      <c r="H142" s="2">
        <f>INDEX(Parametros!$B$2:$B$9,MATCH(G142,Parametros!$A$2:$A$9,0))</f>
        <v/>
      </c>
      <c r="I142" s="4">
        <f>1/(VALUE(MID(F142,1,1))/Parametros!$E$2+VALUE(MID(F142,2,1))/Parametros!$E$3+VALUE(MID(F142,3,1))/Parametros!$E$4+VALUE(MID(F142,4,1))/Parametros!$E$5)</f>
        <v/>
      </c>
      <c r="J142" s="5">
        <f>IF(G142=0,Parametros!$E$8,Parametros!$E$6+Parametros!$E$6*(Parametros!$E$7/G142+I142)/(Parametros!$E$6+Parametros!$E$7/G142+I142))</f>
        <v/>
      </c>
      <c r="K142" s="2" t="inlineStr">
        <is>
          <t>2026-09-28 10:00</t>
        </is>
      </c>
      <c r="L142" s="7" t="inlineStr">
        <is>
          <t>Patamar baixo de ripple (suspeita DAQ)</t>
        </is>
      </c>
      <c r="M142" s="2">
        <f>IF(L142="Válido","Sim","Não")</f>
        <v/>
      </c>
      <c r="N142" s="2" t="inlineStr">
        <is>
          <t>Ripple x C mediano da config = 501 (esperado ~730 a 80W)</t>
        </is>
      </c>
    </row>
    <row r="143">
      <c r="A143" s="2" t="inlineStr">
        <is>
          <t>2Bracos_3000_R0010_80W_2026-09-28_10_00.csv</t>
        </is>
      </c>
      <c r="B143" s="2" t="inlineStr">
        <is>
          <t>80W_3000RPM_R0010</t>
        </is>
      </c>
      <c r="C143" s="2" t="n">
        <v>80</v>
      </c>
      <c r="D143" s="2" t="n">
        <v>3000</v>
      </c>
      <c r="E143" s="3">
        <f>D143*2/60</f>
        <v/>
      </c>
      <c r="F143" s="2" t="inlineStr">
        <is>
          <t>0010</t>
        </is>
      </c>
      <c r="G143" s="2" t="n">
        <v>2</v>
      </c>
      <c r="H143" s="2">
        <f>INDEX(Parametros!$B$2:$B$9,MATCH(G143,Parametros!$A$2:$A$9,0))</f>
        <v/>
      </c>
      <c r="I143" s="4">
        <f>1/(VALUE(MID(F143,1,1))/Parametros!$E$2+VALUE(MID(F143,2,1))/Parametros!$E$3+VALUE(MID(F143,3,1))/Parametros!$E$4+VALUE(MID(F143,4,1))/Parametros!$E$5)</f>
        <v/>
      </c>
      <c r="J143" s="5">
        <f>IF(G143=0,Parametros!$E$8,Parametros!$E$6+Parametros!$E$6*(Parametros!$E$7/G143+I143)/(Parametros!$E$6+Parametros!$E$7/G143+I143))</f>
        <v/>
      </c>
      <c r="K143" s="2" t="inlineStr">
        <is>
          <t>2026-09-28 10:00</t>
        </is>
      </c>
      <c r="L143" s="7" t="inlineStr">
        <is>
          <t>Patamar baixo de ripple (suspeita DAQ)</t>
        </is>
      </c>
      <c r="M143" s="2">
        <f>IF(L143="Válido","Sim","Não")</f>
        <v/>
      </c>
      <c r="N143" s="2" t="inlineStr">
        <is>
          <t>Ripple x C mediano da config = 501 (esperado ~730 a 80W)</t>
        </is>
      </c>
    </row>
    <row r="144">
      <c r="A144" s="2" t="inlineStr">
        <is>
          <t>1Bracos_3000_R0010_80W_2026-09-28_10_00.csv</t>
        </is>
      </c>
      <c r="B144" s="2" t="inlineStr">
        <is>
          <t>80W_3000RPM_R0010</t>
        </is>
      </c>
      <c r="C144" s="2" t="n">
        <v>80</v>
      </c>
      <c r="D144" s="2" t="n">
        <v>3000</v>
      </c>
      <c r="E144" s="3">
        <f>D144*2/60</f>
        <v/>
      </c>
      <c r="F144" s="2" t="inlineStr">
        <is>
          <t>0010</t>
        </is>
      </c>
      <c r="G144" s="2" t="n">
        <v>1</v>
      </c>
      <c r="H144" s="2">
        <f>INDEX(Parametros!$B$2:$B$9,MATCH(G144,Parametros!$A$2:$A$9,0))</f>
        <v/>
      </c>
      <c r="I144" s="4">
        <f>1/(VALUE(MID(F144,1,1))/Parametros!$E$2+VALUE(MID(F144,2,1))/Parametros!$E$3+VALUE(MID(F144,3,1))/Parametros!$E$4+VALUE(MID(F144,4,1))/Parametros!$E$5)</f>
        <v/>
      </c>
      <c r="J144" s="5">
        <f>IF(G144=0,Parametros!$E$8,Parametros!$E$6+Parametros!$E$6*(Parametros!$E$7/G144+I144)/(Parametros!$E$6+Parametros!$E$7/G144+I144))</f>
        <v/>
      </c>
      <c r="K144" s="2" t="inlineStr">
        <is>
          <t>2026-09-28 10:00</t>
        </is>
      </c>
      <c r="L144" s="7" t="inlineStr">
        <is>
          <t>Patamar baixo de ripple (suspeita DAQ)</t>
        </is>
      </c>
      <c r="M144" s="2">
        <f>IF(L144="Válido","Sim","Não")</f>
        <v/>
      </c>
      <c r="N144" s="2" t="inlineStr">
        <is>
          <t>Ripple x C mediano da config = 501 (esperado ~730 a 80W)</t>
        </is>
      </c>
    </row>
    <row r="145">
      <c r="A145" s="2" t="inlineStr">
        <is>
          <t>0Bracos_3000_R0010_80W_2026-09-28_10_00.csv</t>
        </is>
      </c>
      <c r="B145" s="2" t="inlineStr">
        <is>
          <t>80W_3000RPM_R0010</t>
        </is>
      </c>
      <c r="C145" s="2" t="n">
        <v>80</v>
      </c>
      <c r="D145" s="2" t="n">
        <v>3000</v>
      </c>
      <c r="E145" s="3">
        <f>D145*2/60</f>
        <v/>
      </c>
      <c r="F145" s="2" t="inlineStr">
        <is>
          <t>0010</t>
        </is>
      </c>
      <c r="G145" s="2" t="n">
        <v>0</v>
      </c>
      <c r="H145" s="2">
        <f>INDEX(Parametros!$B$2:$B$9,MATCH(G145,Parametros!$A$2:$A$9,0))</f>
        <v/>
      </c>
      <c r="I145" s="4">
        <f>1/(VALUE(MID(F145,1,1))/Parametros!$E$2+VALUE(MID(F145,2,1))/Parametros!$E$3+VALUE(MID(F145,3,1))/Parametros!$E$4+VALUE(MID(F145,4,1))/Parametros!$E$5)</f>
        <v/>
      </c>
      <c r="J145" s="5">
        <f>IF(G145=0,Parametros!$E$8,Parametros!$E$6+Parametros!$E$6*(Parametros!$E$7/G145+I145)/(Parametros!$E$6+Parametros!$E$7/G145+I145))</f>
        <v/>
      </c>
      <c r="K145" s="2" t="inlineStr">
        <is>
          <t>2026-09-28 10:00</t>
        </is>
      </c>
      <c r="L145" s="7" t="inlineStr">
        <is>
          <t>Patamar baixo de ripple (suspeita DAQ)</t>
        </is>
      </c>
      <c r="M145" s="2">
        <f>IF(L145="Válido","Sim","Não")</f>
        <v/>
      </c>
      <c r="N145" s="2" t="inlineStr">
        <is>
          <t>Ripple x C mediano da config = 501 (esperado ~730 a 80W)</t>
        </is>
      </c>
    </row>
    <row r="146">
      <c r="A146" s="2" t="inlineStr">
        <is>
          <t>7Bracos_3000_R0011_80W_2026-09-28_10_00.csv</t>
        </is>
      </c>
      <c r="B146" s="2" t="inlineStr">
        <is>
          <t>80W_3000RPM_R0011</t>
        </is>
      </c>
      <c r="C146" s="2" t="n">
        <v>80</v>
      </c>
      <c r="D146" s="2" t="n">
        <v>3000</v>
      </c>
      <c r="E146" s="3">
        <f>D146*2/60</f>
        <v/>
      </c>
      <c r="F146" s="2" t="inlineStr">
        <is>
          <t>0011</t>
        </is>
      </c>
      <c r="G146" s="2" t="n">
        <v>7</v>
      </c>
      <c r="H146" s="2">
        <f>INDEX(Parametros!$B$2:$B$9,MATCH(G146,Parametros!$A$2:$A$9,0))</f>
        <v/>
      </c>
      <c r="I146" s="4">
        <f>1/(VALUE(MID(F146,1,1))/Parametros!$E$2+VALUE(MID(F146,2,1))/Parametros!$E$3+VALUE(MID(F146,3,1))/Parametros!$E$4+VALUE(MID(F146,4,1))/Parametros!$E$5)</f>
        <v/>
      </c>
      <c r="J146" s="5">
        <f>IF(G146=0,Parametros!$E$8,Parametros!$E$6+Parametros!$E$6*(Parametros!$E$7/G146+I146)/(Parametros!$E$6+Parametros!$E$7/G146+I146))</f>
        <v/>
      </c>
      <c r="K146" s="2" t="inlineStr">
        <is>
          <t>2026-09-28 10:00</t>
        </is>
      </c>
      <c r="L146" s="7" t="inlineStr">
        <is>
          <t>Patamar baixo de ripple (suspeita DAQ)</t>
        </is>
      </c>
      <c r="M146" s="2">
        <f>IF(L146="Válido","Sim","Não")</f>
        <v/>
      </c>
      <c r="N146" s="2" t="inlineStr">
        <is>
          <t>Ripple x C mediano da config = 498 (esperado ~730 a 80W)</t>
        </is>
      </c>
    </row>
    <row r="147">
      <c r="A147" s="2" t="inlineStr">
        <is>
          <t>6Bracos_3000_R0011_80W_2026-09-28_10_00.csv</t>
        </is>
      </c>
      <c r="B147" s="2" t="inlineStr">
        <is>
          <t>80W_3000RPM_R0011</t>
        </is>
      </c>
      <c r="C147" s="2" t="n">
        <v>80</v>
      </c>
      <c r="D147" s="2" t="n">
        <v>3000</v>
      </c>
      <c r="E147" s="3">
        <f>D147*2/60</f>
        <v/>
      </c>
      <c r="F147" s="2" t="inlineStr">
        <is>
          <t>0011</t>
        </is>
      </c>
      <c r="G147" s="2" t="n">
        <v>6</v>
      </c>
      <c r="H147" s="2">
        <f>INDEX(Parametros!$B$2:$B$9,MATCH(G147,Parametros!$A$2:$A$9,0))</f>
        <v/>
      </c>
      <c r="I147" s="4">
        <f>1/(VALUE(MID(F147,1,1))/Parametros!$E$2+VALUE(MID(F147,2,1))/Parametros!$E$3+VALUE(MID(F147,3,1))/Parametros!$E$4+VALUE(MID(F147,4,1))/Parametros!$E$5)</f>
        <v/>
      </c>
      <c r="J147" s="5">
        <f>IF(G147=0,Parametros!$E$8,Parametros!$E$6+Parametros!$E$6*(Parametros!$E$7/G147+I147)/(Parametros!$E$6+Parametros!$E$7/G147+I147))</f>
        <v/>
      </c>
      <c r="K147" s="2" t="inlineStr">
        <is>
          <t>2026-09-28 10:00</t>
        </is>
      </c>
      <c r="L147" s="7" t="inlineStr">
        <is>
          <t>Patamar baixo de ripple (suspeita DAQ)</t>
        </is>
      </c>
      <c r="M147" s="2">
        <f>IF(L147="Válido","Sim","Não")</f>
        <v/>
      </c>
      <c r="N147" s="2" t="inlineStr">
        <is>
          <t>Ripple x C mediano da config = 498 (esperado ~730 a 80W)</t>
        </is>
      </c>
    </row>
    <row r="148">
      <c r="A148" s="2" t="inlineStr">
        <is>
          <t>5Bracos_3000_R0011_80W_2026-09-28_10_00.csv</t>
        </is>
      </c>
      <c r="B148" s="2" t="inlineStr">
        <is>
          <t>80W_3000RPM_R0011</t>
        </is>
      </c>
      <c r="C148" s="2" t="n">
        <v>80</v>
      </c>
      <c r="D148" s="2" t="n">
        <v>3000</v>
      </c>
      <c r="E148" s="3">
        <f>D148*2/60</f>
        <v/>
      </c>
      <c r="F148" s="2" t="inlineStr">
        <is>
          <t>0011</t>
        </is>
      </c>
      <c r="G148" s="2" t="n">
        <v>5</v>
      </c>
      <c r="H148" s="2">
        <f>INDEX(Parametros!$B$2:$B$9,MATCH(G148,Parametros!$A$2:$A$9,0))</f>
        <v/>
      </c>
      <c r="I148" s="4">
        <f>1/(VALUE(MID(F148,1,1))/Parametros!$E$2+VALUE(MID(F148,2,1))/Parametros!$E$3+VALUE(MID(F148,3,1))/Parametros!$E$4+VALUE(MID(F148,4,1))/Parametros!$E$5)</f>
        <v/>
      </c>
      <c r="J148" s="5">
        <f>IF(G148=0,Parametros!$E$8,Parametros!$E$6+Parametros!$E$6*(Parametros!$E$7/G148+I148)/(Parametros!$E$6+Parametros!$E$7/G148+I148))</f>
        <v/>
      </c>
      <c r="K148" s="2" t="inlineStr">
        <is>
          <t>2026-09-28 10:00</t>
        </is>
      </c>
      <c r="L148" s="7" t="inlineStr">
        <is>
          <t>Patamar baixo de ripple (suspeita DAQ)</t>
        </is>
      </c>
      <c r="M148" s="2">
        <f>IF(L148="Válido","Sim","Não")</f>
        <v/>
      </c>
      <c r="N148" s="2" t="inlineStr">
        <is>
          <t>Ripple x C mediano da config = 498 (esperado ~730 a 80W)</t>
        </is>
      </c>
    </row>
    <row r="149">
      <c r="A149" s="2" t="inlineStr">
        <is>
          <t>4Bracos_3000_R0011_80W_2026-09-28_10_00.csv</t>
        </is>
      </c>
      <c r="B149" s="2" t="inlineStr">
        <is>
          <t>80W_3000RPM_R0011</t>
        </is>
      </c>
      <c r="C149" s="2" t="n">
        <v>80</v>
      </c>
      <c r="D149" s="2" t="n">
        <v>3000</v>
      </c>
      <c r="E149" s="3">
        <f>D149*2/60</f>
        <v/>
      </c>
      <c r="F149" s="2" t="inlineStr">
        <is>
          <t>0011</t>
        </is>
      </c>
      <c r="G149" s="2" t="n">
        <v>4</v>
      </c>
      <c r="H149" s="2">
        <f>INDEX(Parametros!$B$2:$B$9,MATCH(G149,Parametros!$A$2:$A$9,0))</f>
        <v/>
      </c>
      <c r="I149" s="4">
        <f>1/(VALUE(MID(F149,1,1))/Parametros!$E$2+VALUE(MID(F149,2,1))/Parametros!$E$3+VALUE(MID(F149,3,1))/Parametros!$E$4+VALUE(MID(F149,4,1))/Parametros!$E$5)</f>
        <v/>
      </c>
      <c r="J149" s="5">
        <f>IF(G149=0,Parametros!$E$8,Parametros!$E$6+Parametros!$E$6*(Parametros!$E$7/G149+I149)/(Parametros!$E$6+Parametros!$E$7/G149+I149))</f>
        <v/>
      </c>
      <c r="K149" s="2" t="inlineStr">
        <is>
          <t>2026-09-28 10:00</t>
        </is>
      </c>
      <c r="L149" s="7" t="inlineStr">
        <is>
          <t>Patamar baixo de ripple (suspeita DAQ)</t>
        </is>
      </c>
      <c r="M149" s="2">
        <f>IF(L149="Válido","Sim","Não")</f>
        <v/>
      </c>
      <c r="N149" s="2" t="inlineStr">
        <is>
          <t>Ripple x C mediano da config = 498 (esperado ~730 a 80W)</t>
        </is>
      </c>
    </row>
    <row r="150">
      <c r="A150" s="2" t="inlineStr">
        <is>
          <t>3Bracos_3000_R0011_80W_2026-09-28_10_00.csv</t>
        </is>
      </c>
      <c r="B150" s="2" t="inlineStr">
        <is>
          <t>80W_3000RPM_R0011</t>
        </is>
      </c>
      <c r="C150" s="2" t="n">
        <v>80</v>
      </c>
      <c r="D150" s="2" t="n">
        <v>3000</v>
      </c>
      <c r="E150" s="3">
        <f>D150*2/60</f>
        <v/>
      </c>
      <c r="F150" s="2" t="inlineStr">
        <is>
          <t>0011</t>
        </is>
      </c>
      <c r="G150" s="2" t="n">
        <v>3</v>
      </c>
      <c r="H150" s="2">
        <f>INDEX(Parametros!$B$2:$B$9,MATCH(G150,Parametros!$A$2:$A$9,0))</f>
        <v/>
      </c>
      <c r="I150" s="4">
        <f>1/(VALUE(MID(F150,1,1))/Parametros!$E$2+VALUE(MID(F150,2,1))/Parametros!$E$3+VALUE(MID(F150,3,1))/Parametros!$E$4+VALUE(MID(F150,4,1))/Parametros!$E$5)</f>
        <v/>
      </c>
      <c r="J150" s="5">
        <f>IF(G150=0,Parametros!$E$8,Parametros!$E$6+Parametros!$E$6*(Parametros!$E$7/G150+I150)/(Parametros!$E$6+Parametros!$E$7/G150+I150))</f>
        <v/>
      </c>
      <c r="K150" s="2" t="inlineStr">
        <is>
          <t>2026-09-28 10:00</t>
        </is>
      </c>
      <c r="L150" s="7" t="inlineStr">
        <is>
          <t>Patamar baixo de ripple (suspeita DAQ)</t>
        </is>
      </c>
      <c r="M150" s="2">
        <f>IF(L150="Válido","Sim","Não")</f>
        <v/>
      </c>
      <c r="N150" s="2" t="inlineStr">
        <is>
          <t>Ripple x C mediano da config = 498 (esperado ~730 a 80W)</t>
        </is>
      </c>
    </row>
    <row r="151">
      <c r="A151" s="2" t="inlineStr">
        <is>
          <t>2Bracos_3000_R0011_80W_2026-09-28_10_00.csv</t>
        </is>
      </c>
      <c r="B151" s="2" t="inlineStr">
        <is>
          <t>80W_3000RPM_R0011</t>
        </is>
      </c>
      <c r="C151" s="2" t="n">
        <v>80</v>
      </c>
      <c r="D151" s="2" t="n">
        <v>3000</v>
      </c>
      <c r="E151" s="3">
        <f>D151*2/60</f>
        <v/>
      </c>
      <c r="F151" s="2" t="inlineStr">
        <is>
          <t>0011</t>
        </is>
      </c>
      <c r="G151" s="2" t="n">
        <v>2</v>
      </c>
      <c r="H151" s="2">
        <f>INDEX(Parametros!$B$2:$B$9,MATCH(G151,Parametros!$A$2:$A$9,0))</f>
        <v/>
      </c>
      <c r="I151" s="4">
        <f>1/(VALUE(MID(F151,1,1))/Parametros!$E$2+VALUE(MID(F151,2,1))/Parametros!$E$3+VALUE(MID(F151,3,1))/Parametros!$E$4+VALUE(MID(F151,4,1))/Parametros!$E$5)</f>
        <v/>
      </c>
      <c r="J151" s="5">
        <f>IF(G151=0,Parametros!$E$8,Parametros!$E$6+Parametros!$E$6*(Parametros!$E$7/G151+I151)/(Parametros!$E$6+Parametros!$E$7/G151+I151))</f>
        <v/>
      </c>
      <c r="K151" s="2" t="inlineStr">
        <is>
          <t>2026-09-28 10:00</t>
        </is>
      </c>
      <c r="L151" s="7" t="inlineStr">
        <is>
          <t>Patamar baixo de ripple (suspeita DAQ)</t>
        </is>
      </c>
      <c r="M151" s="2">
        <f>IF(L151="Válido","Sim","Não")</f>
        <v/>
      </c>
      <c r="N151" s="2" t="inlineStr">
        <is>
          <t>Ripple x C mediano da config = 498 (esperado ~730 a 80W)</t>
        </is>
      </c>
    </row>
    <row r="152">
      <c r="A152" s="2" t="inlineStr">
        <is>
          <t>1Bracos_3000_R0011_80W_2026-09-28_10_00.csv</t>
        </is>
      </c>
      <c r="B152" s="2" t="inlineStr">
        <is>
          <t>80W_3000RPM_R0011</t>
        </is>
      </c>
      <c r="C152" s="2" t="n">
        <v>80</v>
      </c>
      <c r="D152" s="2" t="n">
        <v>3000</v>
      </c>
      <c r="E152" s="3">
        <f>D152*2/60</f>
        <v/>
      </c>
      <c r="F152" s="2" t="inlineStr">
        <is>
          <t>0011</t>
        </is>
      </c>
      <c r="G152" s="2" t="n">
        <v>1</v>
      </c>
      <c r="H152" s="2">
        <f>INDEX(Parametros!$B$2:$B$9,MATCH(G152,Parametros!$A$2:$A$9,0))</f>
        <v/>
      </c>
      <c r="I152" s="4">
        <f>1/(VALUE(MID(F152,1,1))/Parametros!$E$2+VALUE(MID(F152,2,1))/Parametros!$E$3+VALUE(MID(F152,3,1))/Parametros!$E$4+VALUE(MID(F152,4,1))/Parametros!$E$5)</f>
        <v/>
      </c>
      <c r="J152" s="5">
        <f>IF(G152=0,Parametros!$E$8,Parametros!$E$6+Parametros!$E$6*(Parametros!$E$7/G152+I152)/(Parametros!$E$6+Parametros!$E$7/G152+I152))</f>
        <v/>
      </c>
      <c r="K152" s="2" t="inlineStr">
        <is>
          <t>2026-09-28 10:00</t>
        </is>
      </c>
      <c r="L152" s="7" t="inlineStr">
        <is>
          <t>Patamar baixo de ripple (suspeita DAQ)</t>
        </is>
      </c>
      <c r="M152" s="2">
        <f>IF(L152="Válido","Sim","Não")</f>
        <v/>
      </c>
      <c r="N152" s="2" t="inlineStr">
        <is>
          <t>Ripple x C mediano da config = 498 (esperado ~730 a 80W)</t>
        </is>
      </c>
    </row>
    <row r="153">
      <c r="A153" s="2" t="inlineStr">
        <is>
          <t>0Bracos_3000_R0011_80W_2026-09-28_10_00.csv</t>
        </is>
      </c>
      <c r="B153" s="2" t="inlineStr">
        <is>
          <t>80W_3000RPM_R0011</t>
        </is>
      </c>
      <c r="C153" s="2" t="n">
        <v>80</v>
      </c>
      <c r="D153" s="2" t="n">
        <v>3000</v>
      </c>
      <c r="E153" s="3">
        <f>D153*2/60</f>
        <v/>
      </c>
      <c r="F153" s="2" t="inlineStr">
        <is>
          <t>0011</t>
        </is>
      </c>
      <c r="G153" s="2" t="n">
        <v>0</v>
      </c>
      <c r="H153" s="2">
        <f>INDEX(Parametros!$B$2:$B$9,MATCH(G153,Parametros!$A$2:$A$9,0))</f>
        <v/>
      </c>
      <c r="I153" s="4">
        <f>1/(VALUE(MID(F153,1,1))/Parametros!$E$2+VALUE(MID(F153,2,1))/Parametros!$E$3+VALUE(MID(F153,3,1))/Parametros!$E$4+VALUE(MID(F153,4,1))/Parametros!$E$5)</f>
        <v/>
      </c>
      <c r="J153" s="5">
        <f>IF(G153=0,Parametros!$E$8,Parametros!$E$6+Parametros!$E$6*(Parametros!$E$7/G153+I153)/(Parametros!$E$6+Parametros!$E$7/G153+I153))</f>
        <v/>
      </c>
      <c r="K153" s="2" t="inlineStr">
        <is>
          <t>2026-09-28 10:00</t>
        </is>
      </c>
      <c r="L153" s="7" t="inlineStr">
        <is>
          <t>Patamar baixo de ripple (suspeita DAQ)</t>
        </is>
      </c>
      <c r="M153" s="2">
        <f>IF(L153="Válido","Sim","Não")</f>
        <v/>
      </c>
      <c r="N153" s="2" t="inlineStr">
        <is>
          <t>Ripple x C mediano da config = 498 (esperado ~730 a 80W)</t>
        </is>
      </c>
    </row>
    <row r="154">
      <c r="A154" s="2" t="inlineStr">
        <is>
          <t>7Bracos_3000_R0100_80W_2026-09-28_10_00.csv</t>
        </is>
      </c>
      <c r="B154" s="2" t="inlineStr">
        <is>
          <t>80W_3000RPM_R0100</t>
        </is>
      </c>
      <c r="C154" s="2" t="n">
        <v>80</v>
      </c>
      <c r="D154" s="2" t="n">
        <v>3000</v>
      </c>
      <c r="E154" s="3">
        <f>D154*2/60</f>
        <v/>
      </c>
      <c r="F154" s="2" t="inlineStr">
        <is>
          <t>0100</t>
        </is>
      </c>
      <c r="G154" s="2" t="n">
        <v>7</v>
      </c>
      <c r="H154" s="2">
        <f>INDEX(Parametros!$B$2:$B$9,MATCH(G154,Parametros!$A$2:$A$9,0))</f>
        <v/>
      </c>
      <c r="I154" s="4">
        <f>1/(VALUE(MID(F154,1,1))/Parametros!$E$2+VALUE(MID(F154,2,1))/Parametros!$E$3+VALUE(MID(F154,3,1))/Parametros!$E$4+VALUE(MID(F154,4,1))/Parametros!$E$5)</f>
        <v/>
      </c>
      <c r="J154" s="5">
        <f>IF(G154=0,Parametros!$E$8,Parametros!$E$6+Parametros!$E$6*(Parametros!$E$7/G154+I154)/(Parametros!$E$6+Parametros!$E$7/G154+I154))</f>
        <v/>
      </c>
      <c r="K154" s="2" t="inlineStr">
        <is>
          <t>2026-09-28 10:00</t>
        </is>
      </c>
      <c r="L154" s="7" t="inlineStr">
        <is>
          <t>Patamar baixo de ripple (suspeita DAQ)</t>
        </is>
      </c>
      <c r="M154" s="2">
        <f>IF(L154="Válido","Sim","Não")</f>
        <v/>
      </c>
      <c r="N154" s="2" t="inlineStr">
        <is>
          <t>Ripple x C mediano da config = 516 (esperado ~730 a 80W)</t>
        </is>
      </c>
    </row>
    <row r="155">
      <c r="A155" s="2" t="inlineStr">
        <is>
          <t>6Bracos_3000_R0100_80W_2026-09-28_10_00.csv</t>
        </is>
      </c>
      <c r="B155" s="2" t="inlineStr">
        <is>
          <t>80W_3000RPM_R0100</t>
        </is>
      </c>
      <c r="C155" s="2" t="n">
        <v>80</v>
      </c>
      <c r="D155" s="2" t="n">
        <v>3000</v>
      </c>
      <c r="E155" s="3">
        <f>D155*2/60</f>
        <v/>
      </c>
      <c r="F155" s="2" t="inlineStr">
        <is>
          <t>0100</t>
        </is>
      </c>
      <c r="G155" s="2" t="n">
        <v>6</v>
      </c>
      <c r="H155" s="2">
        <f>INDEX(Parametros!$B$2:$B$9,MATCH(G155,Parametros!$A$2:$A$9,0))</f>
        <v/>
      </c>
      <c r="I155" s="4">
        <f>1/(VALUE(MID(F155,1,1))/Parametros!$E$2+VALUE(MID(F155,2,1))/Parametros!$E$3+VALUE(MID(F155,3,1))/Parametros!$E$4+VALUE(MID(F155,4,1))/Parametros!$E$5)</f>
        <v/>
      </c>
      <c r="J155" s="5">
        <f>IF(G155=0,Parametros!$E$8,Parametros!$E$6+Parametros!$E$6*(Parametros!$E$7/G155+I155)/(Parametros!$E$6+Parametros!$E$7/G155+I155))</f>
        <v/>
      </c>
      <c r="K155" s="2" t="inlineStr">
        <is>
          <t>2026-09-28 10:00</t>
        </is>
      </c>
      <c r="L155" s="7" t="inlineStr">
        <is>
          <t>Patamar baixo de ripple (suspeita DAQ)</t>
        </is>
      </c>
      <c r="M155" s="2">
        <f>IF(L155="Válido","Sim","Não")</f>
        <v/>
      </c>
      <c r="N155" s="2" t="inlineStr">
        <is>
          <t>Ripple x C mediano da config = 516 (esperado ~730 a 80W)</t>
        </is>
      </c>
    </row>
    <row r="156">
      <c r="A156" s="2" t="inlineStr">
        <is>
          <t>5Bracos_3000_R0100_80W_2026-09-28_10_00.csv</t>
        </is>
      </c>
      <c r="B156" s="2" t="inlineStr">
        <is>
          <t>80W_3000RPM_R0100</t>
        </is>
      </c>
      <c r="C156" s="2" t="n">
        <v>80</v>
      </c>
      <c r="D156" s="2" t="n">
        <v>3000</v>
      </c>
      <c r="E156" s="3">
        <f>D156*2/60</f>
        <v/>
      </c>
      <c r="F156" s="2" t="inlineStr">
        <is>
          <t>0100</t>
        </is>
      </c>
      <c r="G156" s="2" t="n">
        <v>5</v>
      </c>
      <c r="H156" s="2">
        <f>INDEX(Parametros!$B$2:$B$9,MATCH(G156,Parametros!$A$2:$A$9,0))</f>
        <v/>
      </c>
      <c r="I156" s="4">
        <f>1/(VALUE(MID(F156,1,1))/Parametros!$E$2+VALUE(MID(F156,2,1))/Parametros!$E$3+VALUE(MID(F156,3,1))/Parametros!$E$4+VALUE(MID(F156,4,1))/Parametros!$E$5)</f>
        <v/>
      </c>
      <c r="J156" s="5">
        <f>IF(G156=0,Parametros!$E$8,Parametros!$E$6+Parametros!$E$6*(Parametros!$E$7/G156+I156)/(Parametros!$E$6+Parametros!$E$7/G156+I156))</f>
        <v/>
      </c>
      <c r="K156" s="2" t="inlineStr">
        <is>
          <t>2026-09-28 10:00</t>
        </is>
      </c>
      <c r="L156" s="7" t="inlineStr">
        <is>
          <t>Patamar baixo de ripple (suspeita DAQ)</t>
        </is>
      </c>
      <c r="M156" s="2">
        <f>IF(L156="Válido","Sim","Não")</f>
        <v/>
      </c>
      <c r="N156" s="2" t="inlineStr">
        <is>
          <t>Ripple x C mediano da config = 516 (esperado ~730 a 80W)</t>
        </is>
      </c>
    </row>
    <row r="157">
      <c r="A157" s="2" t="inlineStr">
        <is>
          <t>4Bracos_3000_R0100_80W_2026-09-28_10_00.csv</t>
        </is>
      </c>
      <c r="B157" s="2" t="inlineStr">
        <is>
          <t>80W_3000RPM_R0100</t>
        </is>
      </c>
      <c r="C157" s="2" t="n">
        <v>80</v>
      </c>
      <c r="D157" s="2" t="n">
        <v>3000</v>
      </c>
      <c r="E157" s="3">
        <f>D157*2/60</f>
        <v/>
      </c>
      <c r="F157" s="2" t="inlineStr">
        <is>
          <t>0100</t>
        </is>
      </c>
      <c r="G157" s="2" t="n">
        <v>4</v>
      </c>
      <c r="H157" s="2">
        <f>INDEX(Parametros!$B$2:$B$9,MATCH(G157,Parametros!$A$2:$A$9,0))</f>
        <v/>
      </c>
      <c r="I157" s="4">
        <f>1/(VALUE(MID(F157,1,1))/Parametros!$E$2+VALUE(MID(F157,2,1))/Parametros!$E$3+VALUE(MID(F157,3,1))/Parametros!$E$4+VALUE(MID(F157,4,1))/Parametros!$E$5)</f>
        <v/>
      </c>
      <c r="J157" s="5">
        <f>IF(G157=0,Parametros!$E$8,Parametros!$E$6+Parametros!$E$6*(Parametros!$E$7/G157+I157)/(Parametros!$E$6+Parametros!$E$7/G157+I157))</f>
        <v/>
      </c>
      <c r="K157" s="2" t="inlineStr">
        <is>
          <t>2026-09-28 10:00</t>
        </is>
      </c>
      <c r="L157" s="7" t="inlineStr">
        <is>
          <t>Patamar baixo de ripple (suspeita DAQ)</t>
        </is>
      </c>
      <c r="M157" s="2">
        <f>IF(L157="Válido","Sim","Não")</f>
        <v/>
      </c>
      <c r="N157" s="2" t="inlineStr">
        <is>
          <t>Ripple x C mediano da config = 516 (esperado ~730 a 80W)</t>
        </is>
      </c>
    </row>
    <row r="158">
      <c r="A158" s="2" t="inlineStr">
        <is>
          <t>3Bracos_3000_R0100_80W_2026-09-28_10_00.csv</t>
        </is>
      </c>
      <c r="B158" s="2" t="inlineStr">
        <is>
          <t>80W_3000RPM_R0100</t>
        </is>
      </c>
      <c r="C158" s="2" t="n">
        <v>80</v>
      </c>
      <c r="D158" s="2" t="n">
        <v>3000</v>
      </c>
      <c r="E158" s="3">
        <f>D158*2/60</f>
        <v/>
      </c>
      <c r="F158" s="2" t="inlineStr">
        <is>
          <t>0100</t>
        </is>
      </c>
      <c r="G158" s="2" t="n">
        <v>3</v>
      </c>
      <c r="H158" s="2">
        <f>INDEX(Parametros!$B$2:$B$9,MATCH(G158,Parametros!$A$2:$A$9,0))</f>
        <v/>
      </c>
      <c r="I158" s="4">
        <f>1/(VALUE(MID(F158,1,1))/Parametros!$E$2+VALUE(MID(F158,2,1))/Parametros!$E$3+VALUE(MID(F158,3,1))/Parametros!$E$4+VALUE(MID(F158,4,1))/Parametros!$E$5)</f>
        <v/>
      </c>
      <c r="J158" s="5">
        <f>IF(G158=0,Parametros!$E$8,Parametros!$E$6+Parametros!$E$6*(Parametros!$E$7/G158+I158)/(Parametros!$E$6+Parametros!$E$7/G158+I158))</f>
        <v/>
      </c>
      <c r="K158" s="2" t="inlineStr">
        <is>
          <t>2026-09-28 10:00</t>
        </is>
      </c>
      <c r="L158" s="7" t="inlineStr">
        <is>
          <t>Patamar baixo de ripple (suspeita DAQ)</t>
        </is>
      </c>
      <c r="M158" s="2">
        <f>IF(L158="Válido","Sim","Não")</f>
        <v/>
      </c>
      <c r="N158" s="2" t="inlineStr">
        <is>
          <t>Ripple x C mediano da config = 516 (esperado ~730 a 80W)</t>
        </is>
      </c>
    </row>
    <row r="159">
      <c r="A159" s="2" t="inlineStr">
        <is>
          <t>2Bracos_3000_R0100_80W_2026-09-28_10_00.csv</t>
        </is>
      </c>
      <c r="B159" s="2" t="inlineStr">
        <is>
          <t>80W_3000RPM_R0100</t>
        </is>
      </c>
      <c r="C159" s="2" t="n">
        <v>80</v>
      </c>
      <c r="D159" s="2" t="n">
        <v>3000</v>
      </c>
      <c r="E159" s="3">
        <f>D159*2/60</f>
        <v/>
      </c>
      <c r="F159" s="2" t="inlineStr">
        <is>
          <t>0100</t>
        </is>
      </c>
      <c r="G159" s="2" t="n">
        <v>2</v>
      </c>
      <c r="H159" s="2">
        <f>INDEX(Parametros!$B$2:$B$9,MATCH(G159,Parametros!$A$2:$A$9,0))</f>
        <v/>
      </c>
      <c r="I159" s="4">
        <f>1/(VALUE(MID(F159,1,1))/Parametros!$E$2+VALUE(MID(F159,2,1))/Parametros!$E$3+VALUE(MID(F159,3,1))/Parametros!$E$4+VALUE(MID(F159,4,1))/Parametros!$E$5)</f>
        <v/>
      </c>
      <c r="J159" s="5">
        <f>IF(G159=0,Parametros!$E$8,Parametros!$E$6+Parametros!$E$6*(Parametros!$E$7/G159+I159)/(Parametros!$E$6+Parametros!$E$7/G159+I159))</f>
        <v/>
      </c>
      <c r="K159" s="2" t="inlineStr">
        <is>
          <t>2026-09-28 10:00</t>
        </is>
      </c>
      <c r="L159" s="7" t="inlineStr">
        <is>
          <t>Patamar baixo de ripple (suspeita DAQ)</t>
        </is>
      </c>
      <c r="M159" s="2">
        <f>IF(L159="Válido","Sim","Não")</f>
        <v/>
      </c>
      <c r="N159" s="2" t="inlineStr">
        <is>
          <t>Ripple x C mediano da config = 516 (esperado ~730 a 80W)</t>
        </is>
      </c>
    </row>
    <row r="160">
      <c r="A160" s="2" t="inlineStr">
        <is>
          <t>1Bracos_3000_R0100_80W_2026-09-28_10_00.csv</t>
        </is>
      </c>
      <c r="B160" s="2" t="inlineStr">
        <is>
          <t>80W_3000RPM_R0100</t>
        </is>
      </c>
      <c r="C160" s="2" t="n">
        <v>80</v>
      </c>
      <c r="D160" s="2" t="n">
        <v>3000</v>
      </c>
      <c r="E160" s="3">
        <f>D160*2/60</f>
        <v/>
      </c>
      <c r="F160" s="2" t="inlineStr">
        <is>
          <t>0100</t>
        </is>
      </c>
      <c r="G160" s="2" t="n">
        <v>1</v>
      </c>
      <c r="H160" s="2">
        <f>INDEX(Parametros!$B$2:$B$9,MATCH(G160,Parametros!$A$2:$A$9,0))</f>
        <v/>
      </c>
      <c r="I160" s="4">
        <f>1/(VALUE(MID(F160,1,1))/Parametros!$E$2+VALUE(MID(F160,2,1))/Parametros!$E$3+VALUE(MID(F160,3,1))/Parametros!$E$4+VALUE(MID(F160,4,1))/Parametros!$E$5)</f>
        <v/>
      </c>
      <c r="J160" s="5">
        <f>IF(G160=0,Parametros!$E$8,Parametros!$E$6+Parametros!$E$6*(Parametros!$E$7/G160+I160)/(Parametros!$E$6+Parametros!$E$7/G160+I160))</f>
        <v/>
      </c>
      <c r="K160" s="2" t="inlineStr">
        <is>
          <t>2026-09-28 10:00</t>
        </is>
      </c>
      <c r="L160" s="7" t="inlineStr">
        <is>
          <t>Patamar baixo de ripple (suspeita DAQ)</t>
        </is>
      </c>
      <c r="M160" s="2">
        <f>IF(L160="Válido","Sim","Não")</f>
        <v/>
      </c>
      <c r="N160" s="2" t="inlineStr">
        <is>
          <t>Ripple x C mediano da config = 516 (esperado ~730 a 80W)</t>
        </is>
      </c>
    </row>
    <row r="161">
      <c r="A161" s="2" t="inlineStr">
        <is>
          <t>0Bracos_3000_R0100_80W_2026-09-28_10_00.csv</t>
        </is>
      </c>
      <c r="B161" s="2" t="inlineStr">
        <is>
          <t>80W_3000RPM_R0100</t>
        </is>
      </c>
      <c r="C161" s="2" t="n">
        <v>80</v>
      </c>
      <c r="D161" s="2" t="n">
        <v>3000</v>
      </c>
      <c r="E161" s="3">
        <f>D161*2/60</f>
        <v/>
      </c>
      <c r="F161" s="2" t="inlineStr">
        <is>
          <t>0100</t>
        </is>
      </c>
      <c r="G161" s="2" t="n">
        <v>0</v>
      </c>
      <c r="H161" s="2">
        <f>INDEX(Parametros!$B$2:$B$9,MATCH(G161,Parametros!$A$2:$A$9,0))</f>
        <v/>
      </c>
      <c r="I161" s="4">
        <f>1/(VALUE(MID(F161,1,1))/Parametros!$E$2+VALUE(MID(F161,2,1))/Parametros!$E$3+VALUE(MID(F161,3,1))/Parametros!$E$4+VALUE(MID(F161,4,1))/Parametros!$E$5)</f>
        <v/>
      </c>
      <c r="J161" s="5">
        <f>IF(G161=0,Parametros!$E$8,Parametros!$E$6+Parametros!$E$6*(Parametros!$E$7/G161+I161)/(Parametros!$E$6+Parametros!$E$7/G161+I161))</f>
        <v/>
      </c>
      <c r="K161" s="2" t="inlineStr">
        <is>
          <t>2026-09-28 10:00</t>
        </is>
      </c>
      <c r="L161" s="7" t="inlineStr">
        <is>
          <t>Patamar baixo de ripple (suspeita DAQ)</t>
        </is>
      </c>
      <c r="M161" s="2">
        <f>IF(L161="Válido","Sim","Não")</f>
        <v/>
      </c>
      <c r="N161" s="2" t="inlineStr">
        <is>
          <t>Ripple x C mediano da config = 516 (esperado ~730 a 80W)</t>
        </is>
      </c>
    </row>
    <row r="162">
      <c r="A162" s="2" t="inlineStr">
        <is>
          <t>7Bracos_3000_R0101_80W_2026-09-28_10_00.csv</t>
        </is>
      </c>
      <c r="B162" s="2" t="inlineStr">
        <is>
          <t>80W_3000RPM_R0101</t>
        </is>
      </c>
      <c r="C162" s="2" t="n">
        <v>80</v>
      </c>
      <c r="D162" s="2" t="n">
        <v>3000</v>
      </c>
      <c r="E162" s="3">
        <f>D162*2/60</f>
        <v/>
      </c>
      <c r="F162" s="2" t="inlineStr">
        <is>
          <t>0101</t>
        </is>
      </c>
      <c r="G162" s="2" t="n">
        <v>7</v>
      </c>
      <c r="H162" s="2">
        <f>INDEX(Parametros!$B$2:$B$9,MATCH(G162,Parametros!$A$2:$A$9,0))</f>
        <v/>
      </c>
      <c r="I162" s="4">
        <f>1/(VALUE(MID(F162,1,1))/Parametros!$E$2+VALUE(MID(F162,2,1))/Parametros!$E$3+VALUE(MID(F162,3,1))/Parametros!$E$4+VALUE(MID(F162,4,1))/Parametros!$E$5)</f>
        <v/>
      </c>
      <c r="J162" s="5">
        <f>IF(G162=0,Parametros!$E$8,Parametros!$E$6+Parametros!$E$6*(Parametros!$E$7/G162+I162)/(Parametros!$E$6+Parametros!$E$7/G162+I162))</f>
        <v/>
      </c>
      <c r="K162" s="2" t="inlineStr">
        <is>
          <t>2026-09-28 10:00</t>
        </is>
      </c>
      <c r="L162" s="7" t="inlineStr">
        <is>
          <t>Patamar baixo de ripple (suspeita DAQ)</t>
        </is>
      </c>
      <c r="M162" s="2">
        <f>IF(L162="Válido","Sim","Não")</f>
        <v/>
      </c>
      <c r="N162" s="2" t="inlineStr">
        <is>
          <t>Ripple x C mediano da config = 493 (esperado ~730 a 80W)</t>
        </is>
      </c>
    </row>
    <row r="163">
      <c r="A163" s="2" t="inlineStr">
        <is>
          <t>6Bracos_3000_R0101_80W_2026-09-28_10_00.csv</t>
        </is>
      </c>
      <c r="B163" s="2" t="inlineStr">
        <is>
          <t>80W_3000RPM_R0101</t>
        </is>
      </c>
      <c r="C163" s="2" t="n">
        <v>80</v>
      </c>
      <c r="D163" s="2" t="n">
        <v>3000</v>
      </c>
      <c r="E163" s="3">
        <f>D163*2/60</f>
        <v/>
      </c>
      <c r="F163" s="2" t="inlineStr">
        <is>
          <t>0101</t>
        </is>
      </c>
      <c r="G163" s="2" t="n">
        <v>6</v>
      </c>
      <c r="H163" s="2">
        <f>INDEX(Parametros!$B$2:$B$9,MATCH(G163,Parametros!$A$2:$A$9,0))</f>
        <v/>
      </c>
      <c r="I163" s="4">
        <f>1/(VALUE(MID(F163,1,1))/Parametros!$E$2+VALUE(MID(F163,2,1))/Parametros!$E$3+VALUE(MID(F163,3,1))/Parametros!$E$4+VALUE(MID(F163,4,1))/Parametros!$E$5)</f>
        <v/>
      </c>
      <c r="J163" s="5">
        <f>IF(G163=0,Parametros!$E$8,Parametros!$E$6+Parametros!$E$6*(Parametros!$E$7/G163+I163)/(Parametros!$E$6+Parametros!$E$7/G163+I163))</f>
        <v/>
      </c>
      <c r="K163" s="2" t="inlineStr">
        <is>
          <t>2026-09-28 10:00</t>
        </is>
      </c>
      <c r="L163" s="7" t="inlineStr">
        <is>
          <t>Patamar baixo de ripple (suspeita DAQ)</t>
        </is>
      </c>
      <c r="M163" s="2">
        <f>IF(L163="Válido","Sim","Não")</f>
        <v/>
      </c>
      <c r="N163" s="2" t="inlineStr">
        <is>
          <t>Ripple x C mediano da config = 493 (esperado ~730 a 80W)</t>
        </is>
      </c>
    </row>
    <row r="164">
      <c r="A164" s="2" t="inlineStr">
        <is>
          <t>5Bracos_3000_R0101_80W_2026-09-28_10_00.csv</t>
        </is>
      </c>
      <c r="B164" s="2" t="inlineStr">
        <is>
          <t>80W_3000RPM_R0101</t>
        </is>
      </c>
      <c r="C164" s="2" t="n">
        <v>80</v>
      </c>
      <c r="D164" s="2" t="n">
        <v>3000</v>
      </c>
      <c r="E164" s="3">
        <f>D164*2/60</f>
        <v/>
      </c>
      <c r="F164" s="2" t="inlineStr">
        <is>
          <t>0101</t>
        </is>
      </c>
      <c r="G164" s="2" t="n">
        <v>5</v>
      </c>
      <c r="H164" s="2">
        <f>INDEX(Parametros!$B$2:$B$9,MATCH(G164,Parametros!$A$2:$A$9,0))</f>
        <v/>
      </c>
      <c r="I164" s="4">
        <f>1/(VALUE(MID(F164,1,1))/Parametros!$E$2+VALUE(MID(F164,2,1))/Parametros!$E$3+VALUE(MID(F164,3,1))/Parametros!$E$4+VALUE(MID(F164,4,1))/Parametros!$E$5)</f>
        <v/>
      </c>
      <c r="J164" s="5">
        <f>IF(G164=0,Parametros!$E$8,Parametros!$E$6+Parametros!$E$6*(Parametros!$E$7/G164+I164)/(Parametros!$E$6+Parametros!$E$7/G164+I164))</f>
        <v/>
      </c>
      <c r="K164" s="2" t="inlineStr">
        <is>
          <t>2026-09-28 10:00</t>
        </is>
      </c>
      <c r="L164" s="7" t="inlineStr">
        <is>
          <t>Patamar baixo de ripple (suspeita DAQ)</t>
        </is>
      </c>
      <c r="M164" s="2">
        <f>IF(L164="Válido","Sim","Não")</f>
        <v/>
      </c>
      <c r="N164" s="2" t="inlineStr">
        <is>
          <t>Ripple x C mediano da config = 493 (esperado ~730 a 80W)</t>
        </is>
      </c>
    </row>
    <row r="165">
      <c r="A165" s="2" t="inlineStr">
        <is>
          <t>4Bracos_3000_R0101_80W_2026-09-28_10_00.csv</t>
        </is>
      </c>
      <c r="B165" s="2" t="inlineStr">
        <is>
          <t>80W_3000RPM_R0101</t>
        </is>
      </c>
      <c r="C165" s="2" t="n">
        <v>80</v>
      </c>
      <c r="D165" s="2" t="n">
        <v>3000</v>
      </c>
      <c r="E165" s="3">
        <f>D165*2/60</f>
        <v/>
      </c>
      <c r="F165" s="2" t="inlineStr">
        <is>
          <t>0101</t>
        </is>
      </c>
      <c r="G165" s="2" t="n">
        <v>4</v>
      </c>
      <c r="H165" s="2">
        <f>INDEX(Parametros!$B$2:$B$9,MATCH(G165,Parametros!$A$2:$A$9,0))</f>
        <v/>
      </c>
      <c r="I165" s="4">
        <f>1/(VALUE(MID(F165,1,1))/Parametros!$E$2+VALUE(MID(F165,2,1))/Parametros!$E$3+VALUE(MID(F165,3,1))/Parametros!$E$4+VALUE(MID(F165,4,1))/Parametros!$E$5)</f>
        <v/>
      </c>
      <c r="J165" s="5">
        <f>IF(G165=0,Parametros!$E$8,Parametros!$E$6+Parametros!$E$6*(Parametros!$E$7/G165+I165)/(Parametros!$E$6+Parametros!$E$7/G165+I165))</f>
        <v/>
      </c>
      <c r="K165" s="2" t="inlineStr">
        <is>
          <t>2026-09-28 10:00</t>
        </is>
      </c>
      <c r="L165" s="7" t="inlineStr">
        <is>
          <t>Patamar baixo de ripple (suspeita DAQ)</t>
        </is>
      </c>
      <c r="M165" s="2">
        <f>IF(L165="Válido","Sim","Não")</f>
        <v/>
      </c>
      <c r="N165" s="2" t="inlineStr">
        <is>
          <t>Ripple x C mediano da config = 493 (esperado ~730 a 80W)</t>
        </is>
      </c>
    </row>
    <row r="166">
      <c r="A166" s="2" t="inlineStr">
        <is>
          <t>3Bracos_3000_R0101_80W_2026-09-28_10_00.csv</t>
        </is>
      </c>
      <c r="B166" s="2" t="inlineStr">
        <is>
          <t>80W_3000RPM_R0101</t>
        </is>
      </c>
      <c r="C166" s="2" t="n">
        <v>80</v>
      </c>
      <c r="D166" s="2" t="n">
        <v>3000</v>
      </c>
      <c r="E166" s="3">
        <f>D166*2/60</f>
        <v/>
      </c>
      <c r="F166" s="2" t="inlineStr">
        <is>
          <t>0101</t>
        </is>
      </c>
      <c r="G166" s="2" t="n">
        <v>3</v>
      </c>
      <c r="H166" s="2">
        <f>INDEX(Parametros!$B$2:$B$9,MATCH(G166,Parametros!$A$2:$A$9,0))</f>
        <v/>
      </c>
      <c r="I166" s="4">
        <f>1/(VALUE(MID(F166,1,1))/Parametros!$E$2+VALUE(MID(F166,2,1))/Parametros!$E$3+VALUE(MID(F166,3,1))/Parametros!$E$4+VALUE(MID(F166,4,1))/Parametros!$E$5)</f>
        <v/>
      </c>
      <c r="J166" s="5">
        <f>IF(G166=0,Parametros!$E$8,Parametros!$E$6+Parametros!$E$6*(Parametros!$E$7/G166+I166)/(Parametros!$E$6+Parametros!$E$7/G166+I166))</f>
        <v/>
      </c>
      <c r="K166" s="2" t="inlineStr">
        <is>
          <t>2026-09-28 10:00</t>
        </is>
      </c>
      <c r="L166" s="7" t="inlineStr">
        <is>
          <t>Patamar baixo de ripple (suspeita DAQ)</t>
        </is>
      </c>
      <c r="M166" s="2">
        <f>IF(L166="Válido","Sim","Não")</f>
        <v/>
      </c>
      <c r="N166" s="2" t="inlineStr">
        <is>
          <t>Ripple x C mediano da config = 493 (esperado ~730 a 80W)</t>
        </is>
      </c>
    </row>
    <row r="167">
      <c r="A167" s="2" t="inlineStr">
        <is>
          <t>2Bracos_3000_R0101_80W_2026-09-28_10_00.csv</t>
        </is>
      </c>
      <c r="B167" s="2" t="inlineStr">
        <is>
          <t>80W_3000RPM_R0101</t>
        </is>
      </c>
      <c r="C167" s="2" t="n">
        <v>80</v>
      </c>
      <c r="D167" s="2" t="n">
        <v>3000</v>
      </c>
      <c r="E167" s="3">
        <f>D167*2/60</f>
        <v/>
      </c>
      <c r="F167" s="2" t="inlineStr">
        <is>
          <t>0101</t>
        </is>
      </c>
      <c r="G167" s="2" t="n">
        <v>2</v>
      </c>
      <c r="H167" s="2">
        <f>INDEX(Parametros!$B$2:$B$9,MATCH(G167,Parametros!$A$2:$A$9,0))</f>
        <v/>
      </c>
      <c r="I167" s="4">
        <f>1/(VALUE(MID(F167,1,1))/Parametros!$E$2+VALUE(MID(F167,2,1))/Parametros!$E$3+VALUE(MID(F167,3,1))/Parametros!$E$4+VALUE(MID(F167,4,1))/Parametros!$E$5)</f>
        <v/>
      </c>
      <c r="J167" s="5">
        <f>IF(G167=0,Parametros!$E$8,Parametros!$E$6+Parametros!$E$6*(Parametros!$E$7/G167+I167)/(Parametros!$E$6+Parametros!$E$7/G167+I167))</f>
        <v/>
      </c>
      <c r="K167" s="2" t="inlineStr">
        <is>
          <t>2026-09-28 10:00</t>
        </is>
      </c>
      <c r="L167" s="7" t="inlineStr">
        <is>
          <t>Patamar baixo de ripple (suspeita DAQ)</t>
        </is>
      </c>
      <c r="M167" s="2">
        <f>IF(L167="Válido","Sim","Não")</f>
        <v/>
      </c>
      <c r="N167" s="2" t="inlineStr">
        <is>
          <t>Ripple x C mediano da config = 493 (esperado ~730 a 80W)</t>
        </is>
      </c>
    </row>
    <row r="168">
      <c r="A168" s="2" t="inlineStr">
        <is>
          <t>1Bracos_3000_R0101_80W_2026-09-28_10_00.csv</t>
        </is>
      </c>
      <c r="B168" s="2" t="inlineStr">
        <is>
          <t>80W_3000RPM_R0101</t>
        </is>
      </c>
      <c r="C168" s="2" t="n">
        <v>80</v>
      </c>
      <c r="D168" s="2" t="n">
        <v>3000</v>
      </c>
      <c r="E168" s="3">
        <f>D168*2/60</f>
        <v/>
      </c>
      <c r="F168" s="2" t="inlineStr">
        <is>
          <t>0101</t>
        </is>
      </c>
      <c r="G168" s="2" t="n">
        <v>1</v>
      </c>
      <c r="H168" s="2">
        <f>INDEX(Parametros!$B$2:$B$9,MATCH(G168,Parametros!$A$2:$A$9,0))</f>
        <v/>
      </c>
      <c r="I168" s="4">
        <f>1/(VALUE(MID(F168,1,1))/Parametros!$E$2+VALUE(MID(F168,2,1))/Parametros!$E$3+VALUE(MID(F168,3,1))/Parametros!$E$4+VALUE(MID(F168,4,1))/Parametros!$E$5)</f>
        <v/>
      </c>
      <c r="J168" s="5">
        <f>IF(G168=0,Parametros!$E$8,Parametros!$E$6+Parametros!$E$6*(Parametros!$E$7/G168+I168)/(Parametros!$E$6+Parametros!$E$7/G168+I168))</f>
        <v/>
      </c>
      <c r="K168" s="2" t="inlineStr">
        <is>
          <t>2026-09-28 10:00</t>
        </is>
      </c>
      <c r="L168" s="7" t="inlineStr">
        <is>
          <t>Patamar baixo de ripple (suspeita DAQ)</t>
        </is>
      </c>
      <c r="M168" s="2">
        <f>IF(L168="Válido","Sim","Não")</f>
        <v/>
      </c>
      <c r="N168" s="2" t="inlineStr">
        <is>
          <t>Ripple x C mediano da config = 493 (esperado ~730 a 80W)</t>
        </is>
      </c>
    </row>
    <row r="169">
      <c r="A169" s="2" t="inlineStr">
        <is>
          <t>0Bracos_3000_R0101_80W_2026-09-28_10_00.csv</t>
        </is>
      </c>
      <c r="B169" s="2" t="inlineStr">
        <is>
          <t>80W_3000RPM_R0101</t>
        </is>
      </c>
      <c r="C169" s="2" t="n">
        <v>80</v>
      </c>
      <c r="D169" s="2" t="n">
        <v>3000</v>
      </c>
      <c r="E169" s="3">
        <f>D169*2/60</f>
        <v/>
      </c>
      <c r="F169" s="2" t="inlineStr">
        <is>
          <t>0101</t>
        </is>
      </c>
      <c r="G169" s="2" t="n">
        <v>0</v>
      </c>
      <c r="H169" s="2">
        <f>INDEX(Parametros!$B$2:$B$9,MATCH(G169,Parametros!$A$2:$A$9,0))</f>
        <v/>
      </c>
      <c r="I169" s="4">
        <f>1/(VALUE(MID(F169,1,1))/Parametros!$E$2+VALUE(MID(F169,2,1))/Parametros!$E$3+VALUE(MID(F169,3,1))/Parametros!$E$4+VALUE(MID(F169,4,1))/Parametros!$E$5)</f>
        <v/>
      </c>
      <c r="J169" s="5">
        <f>IF(G169=0,Parametros!$E$8,Parametros!$E$6+Parametros!$E$6*(Parametros!$E$7/G169+I169)/(Parametros!$E$6+Parametros!$E$7/G169+I169))</f>
        <v/>
      </c>
      <c r="K169" s="2" t="inlineStr">
        <is>
          <t>2026-09-28 10:00</t>
        </is>
      </c>
      <c r="L169" s="7" t="inlineStr">
        <is>
          <t>Patamar baixo de ripple (suspeita DAQ)</t>
        </is>
      </c>
      <c r="M169" s="2">
        <f>IF(L169="Válido","Sim","Não")</f>
        <v/>
      </c>
      <c r="N169" s="2" t="inlineStr">
        <is>
          <t>Ripple x C mediano da config = 493 (esperado ~730 a 80W)</t>
        </is>
      </c>
    </row>
    <row r="170">
      <c r="A170" s="2" t="inlineStr">
        <is>
          <t>7Bracos_3000_R0110_80W_2026-09-28_10_00.csv</t>
        </is>
      </c>
      <c r="B170" s="2" t="inlineStr">
        <is>
          <t>80W_3000RPM_R0110</t>
        </is>
      </c>
      <c r="C170" s="2" t="n">
        <v>80</v>
      </c>
      <c r="D170" s="2" t="n">
        <v>3000</v>
      </c>
      <c r="E170" s="3">
        <f>D170*2/60</f>
        <v/>
      </c>
      <c r="F170" s="2" t="inlineStr">
        <is>
          <t>0110</t>
        </is>
      </c>
      <c r="G170" s="2" t="n">
        <v>7</v>
      </c>
      <c r="H170" s="2">
        <f>INDEX(Parametros!$B$2:$B$9,MATCH(G170,Parametros!$A$2:$A$9,0))</f>
        <v/>
      </c>
      <c r="I170" s="4">
        <f>1/(VALUE(MID(F170,1,1))/Parametros!$E$2+VALUE(MID(F170,2,1))/Parametros!$E$3+VALUE(MID(F170,3,1))/Parametros!$E$4+VALUE(MID(F170,4,1))/Parametros!$E$5)</f>
        <v/>
      </c>
      <c r="J170" s="5">
        <f>IF(G170=0,Parametros!$E$8,Parametros!$E$6+Parametros!$E$6*(Parametros!$E$7/G170+I170)/(Parametros!$E$6+Parametros!$E$7/G170+I170))</f>
        <v/>
      </c>
      <c r="K170" s="2" t="inlineStr">
        <is>
          <t>2026-09-28 10:00</t>
        </is>
      </c>
      <c r="L170" s="7" t="inlineStr">
        <is>
          <t>Patamar baixo de ripple (suspeita DAQ)</t>
        </is>
      </c>
      <c r="M170" s="2">
        <f>IF(L170="Válido","Sim","Não")</f>
        <v/>
      </c>
      <c r="N170" s="2" t="inlineStr">
        <is>
          <t>Ripple x C mediano da config = 516 (esperado ~730 a 80W)</t>
        </is>
      </c>
    </row>
    <row r="171">
      <c r="A171" s="2" t="inlineStr">
        <is>
          <t>6Bracos_3000_R0110_80W_2026-09-28_10_00.csv</t>
        </is>
      </c>
      <c r="B171" s="2" t="inlineStr">
        <is>
          <t>80W_3000RPM_R0110</t>
        </is>
      </c>
      <c r="C171" s="2" t="n">
        <v>80</v>
      </c>
      <c r="D171" s="2" t="n">
        <v>3000</v>
      </c>
      <c r="E171" s="3">
        <f>D171*2/60</f>
        <v/>
      </c>
      <c r="F171" s="2" t="inlineStr">
        <is>
          <t>0110</t>
        </is>
      </c>
      <c r="G171" s="2" t="n">
        <v>6</v>
      </c>
      <c r="H171" s="2">
        <f>INDEX(Parametros!$B$2:$B$9,MATCH(G171,Parametros!$A$2:$A$9,0))</f>
        <v/>
      </c>
      <c r="I171" s="4">
        <f>1/(VALUE(MID(F171,1,1))/Parametros!$E$2+VALUE(MID(F171,2,1))/Parametros!$E$3+VALUE(MID(F171,3,1))/Parametros!$E$4+VALUE(MID(F171,4,1))/Parametros!$E$5)</f>
        <v/>
      </c>
      <c r="J171" s="5">
        <f>IF(G171=0,Parametros!$E$8,Parametros!$E$6+Parametros!$E$6*(Parametros!$E$7/G171+I171)/(Parametros!$E$6+Parametros!$E$7/G171+I171))</f>
        <v/>
      </c>
      <c r="K171" s="2" t="inlineStr">
        <is>
          <t>2026-09-28 10:00</t>
        </is>
      </c>
      <c r="L171" s="7" t="inlineStr">
        <is>
          <t>Patamar baixo de ripple (suspeita DAQ)</t>
        </is>
      </c>
      <c r="M171" s="2">
        <f>IF(L171="Válido","Sim","Não")</f>
        <v/>
      </c>
      <c r="N171" s="2" t="inlineStr">
        <is>
          <t>Ripple x C mediano da config = 516 (esperado ~730 a 80W)</t>
        </is>
      </c>
    </row>
    <row r="172">
      <c r="A172" s="2" t="inlineStr">
        <is>
          <t>5Bracos_3000_R0110_80W_2026-09-28_10_00.csv</t>
        </is>
      </c>
      <c r="B172" s="2" t="inlineStr">
        <is>
          <t>80W_3000RPM_R0110</t>
        </is>
      </c>
      <c r="C172" s="2" t="n">
        <v>80</v>
      </c>
      <c r="D172" s="2" t="n">
        <v>3000</v>
      </c>
      <c r="E172" s="3">
        <f>D172*2/60</f>
        <v/>
      </c>
      <c r="F172" s="2" t="inlineStr">
        <is>
          <t>0110</t>
        </is>
      </c>
      <c r="G172" s="2" t="n">
        <v>5</v>
      </c>
      <c r="H172" s="2">
        <f>INDEX(Parametros!$B$2:$B$9,MATCH(G172,Parametros!$A$2:$A$9,0))</f>
        <v/>
      </c>
      <c r="I172" s="4">
        <f>1/(VALUE(MID(F172,1,1))/Parametros!$E$2+VALUE(MID(F172,2,1))/Parametros!$E$3+VALUE(MID(F172,3,1))/Parametros!$E$4+VALUE(MID(F172,4,1))/Parametros!$E$5)</f>
        <v/>
      </c>
      <c r="J172" s="5">
        <f>IF(G172=0,Parametros!$E$8,Parametros!$E$6+Parametros!$E$6*(Parametros!$E$7/G172+I172)/(Parametros!$E$6+Parametros!$E$7/G172+I172))</f>
        <v/>
      </c>
      <c r="K172" s="2" t="inlineStr">
        <is>
          <t>2026-09-28 10:00</t>
        </is>
      </c>
      <c r="L172" s="7" t="inlineStr">
        <is>
          <t>Patamar baixo de ripple (suspeita DAQ)</t>
        </is>
      </c>
      <c r="M172" s="2">
        <f>IF(L172="Válido","Sim","Não")</f>
        <v/>
      </c>
      <c r="N172" s="2" t="inlineStr">
        <is>
          <t>Ripple x C mediano da config = 516 (esperado ~730 a 80W)</t>
        </is>
      </c>
    </row>
    <row r="173">
      <c r="A173" s="2" t="inlineStr">
        <is>
          <t>4Bracos_3000_R0110_80W_2026-09-28_10_00.csv</t>
        </is>
      </c>
      <c r="B173" s="2" t="inlineStr">
        <is>
          <t>80W_3000RPM_R0110</t>
        </is>
      </c>
      <c r="C173" s="2" t="n">
        <v>80</v>
      </c>
      <c r="D173" s="2" t="n">
        <v>3000</v>
      </c>
      <c r="E173" s="3">
        <f>D173*2/60</f>
        <v/>
      </c>
      <c r="F173" s="2" t="inlineStr">
        <is>
          <t>0110</t>
        </is>
      </c>
      <c r="G173" s="2" t="n">
        <v>4</v>
      </c>
      <c r="H173" s="2">
        <f>INDEX(Parametros!$B$2:$B$9,MATCH(G173,Parametros!$A$2:$A$9,0))</f>
        <v/>
      </c>
      <c r="I173" s="4">
        <f>1/(VALUE(MID(F173,1,1))/Parametros!$E$2+VALUE(MID(F173,2,1))/Parametros!$E$3+VALUE(MID(F173,3,1))/Parametros!$E$4+VALUE(MID(F173,4,1))/Parametros!$E$5)</f>
        <v/>
      </c>
      <c r="J173" s="5">
        <f>IF(G173=0,Parametros!$E$8,Parametros!$E$6+Parametros!$E$6*(Parametros!$E$7/G173+I173)/(Parametros!$E$6+Parametros!$E$7/G173+I173))</f>
        <v/>
      </c>
      <c r="K173" s="2" t="inlineStr">
        <is>
          <t>2026-09-28 10:00</t>
        </is>
      </c>
      <c r="L173" s="7" t="inlineStr">
        <is>
          <t>Patamar baixo de ripple (suspeita DAQ)</t>
        </is>
      </c>
      <c r="M173" s="2">
        <f>IF(L173="Válido","Sim","Não")</f>
        <v/>
      </c>
      <c r="N173" s="2" t="inlineStr">
        <is>
          <t>Ripple x C mediano da config = 516 (esperado ~730 a 80W)</t>
        </is>
      </c>
    </row>
    <row r="174">
      <c r="A174" s="2" t="inlineStr">
        <is>
          <t>3Bracos_3000_R0110_80W_2026-09-28_10_00.csv</t>
        </is>
      </c>
      <c r="B174" s="2" t="inlineStr">
        <is>
          <t>80W_3000RPM_R0110</t>
        </is>
      </c>
      <c r="C174" s="2" t="n">
        <v>80</v>
      </c>
      <c r="D174" s="2" t="n">
        <v>3000</v>
      </c>
      <c r="E174" s="3">
        <f>D174*2/60</f>
        <v/>
      </c>
      <c r="F174" s="2" t="inlineStr">
        <is>
          <t>0110</t>
        </is>
      </c>
      <c r="G174" s="2" t="n">
        <v>3</v>
      </c>
      <c r="H174" s="2">
        <f>INDEX(Parametros!$B$2:$B$9,MATCH(G174,Parametros!$A$2:$A$9,0))</f>
        <v/>
      </c>
      <c r="I174" s="4">
        <f>1/(VALUE(MID(F174,1,1))/Parametros!$E$2+VALUE(MID(F174,2,1))/Parametros!$E$3+VALUE(MID(F174,3,1))/Parametros!$E$4+VALUE(MID(F174,4,1))/Parametros!$E$5)</f>
        <v/>
      </c>
      <c r="J174" s="5">
        <f>IF(G174=0,Parametros!$E$8,Parametros!$E$6+Parametros!$E$6*(Parametros!$E$7/G174+I174)/(Parametros!$E$6+Parametros!$E$7/G174+I174))</f>
        <v/>
      </c>
      <c r="K174" s="2" t="inlineStr">
        <is>
          <t>2026-09-28 10:00</t>
        </is>
      </c>
      <c r="L174" s="7" t="inlineStr">
        <is>
          <t>Patamar baixo de ripple (suspeita DAQ)</t>
        </is>
      </c>
      <c r="M174" s="2">
        <f>IF(L174="Válido","Sim","Não")</f>
        <v/>
      </c>
      <c r="N174" s="2" t="inlineStr">
        <is>
          <t>Ripple x C mediano da config = 516 (esperado ~730 a 80W)</t>
        </is>
      </c>
    </row>
    <row r="175">
      <c r="A175" s="2" t="inlineStr">
        <is>
          <t>2Bracos_3000_R0110_80W_2026-09-28_10_00.csv</t>
        </is>
      </c>
      <c r="B175" s="2" t="inlineStr">
        <is>
          <t>80W_3000RPM_R0110</t>
        </is>
      </c>
      <c r="C175" s="2" t="n">
        <v>80</v>
      </c>
      <c r="D175" s="2" t="n">
        <v>3000</v>
      </c>
      <c r="E175" s="3">
        <f>D175*2/60</f>
        <v/>
      </c>
      <c r="F175" s="2" t="inlineStr">
        <is>
          <t>0110</t>
        </is>
      </c>
      <c r="G175" s="2" t="n">
        <v>2</v>
      </c>
      <c r="H175" s="2">
        <f>INDEX(Parametros!$B$2:$B$9,MATCH(G175,Parametros!$A$2:$A$9,0))</f>
        <v/>
      </c>
      <c r="I175" s="4">
        <f>1/(VALUE(MID(F175,1,1))/Parametros!$E$2+VALUE(MID(F175,2,1))/Parametros!$E$3+VALUE(MID(F175,3,1))/Parametros!$E$4+VALUE(MID(F175,4,1))/Parametros!$E$5)</f>
        <v/>
      </c>
      <c r="J175" s="5">
        <f>IF(G175=0,Parametros!$E$8,Parametros!$E$6+Parametros!$E$6*(Parametros!$E$7/G175+I175)/(Parametros!$E$6+Parametros!$E$7/G175+I175))</f>
        <v/>
      </c>
      <c r="K175" s="2" t="inlineStr">
        <is>
          <t>2026-09-28 10:00</t>
        </is>
      </c>
      <c r="L175" s="7" t="inlineStr">
        <is>
          <t>Patamar baixo de ripple (suspeita DAQ)</t>
        </is>
      </c>
      <c r="M175" s="2">
        <f>IF(L175="Válido","Sim","Não")</f>
        <v/>
      </c>
      <c r="N175" s="2" t="inlineStr">
        <is>
          <t>Ripple x C mediano da config = 516 (esperado ~730 a 80W)</t>
        </is>
      </c>
    </row>
    <row r="176">
      <c r="A176" s="2" t="inlineStr">
        <is>
          <t>1Bracos_3000_R0110_80W_2026-09-28_10_00.csv</t>
        </is>
      </c>
      <c r="B176" s="2" t="inlineStr">
        <is>
          <t>80W_3000RPM_R0110</t>
        </is>
      </c>
      <c r="C176" s="2" t="n">
        <v>80</v>
      </c>
      <c r="D176" s="2" t="n">
        <v>3000</v>
      </c>
      <c r="E176" s="3">
        <f>D176*2/60</f>
        <v/>
      </c>
      <c r="F176" s="2" t="inlineStr">
        <is>
          <t>0110</t>
        </is>
      </c>
      <c r="G176" s="2" t="n">
        <v>1</v>
      </c>
      <c r="H176" s="2">
        <f>INDEX(Parametros!$B$2:$B$9,MATCH(G176,Parametros!$A$2:$A$9,0))</f>
        <v/>
      </c>
      <c r="I176" s="4">
        <f>1/(VALUE(MID(F176,1,1))/Parametros!$E$2+VALUE(MID(F176,2,1))/Parametros!$E$3+VALUE(MID(F176,3,1))/Parametros!$E$4+VALUE(MID(F176,4,1))/Parametros!$E$5)</f>
        <v/>
      </c>
      <c r="J176" s="5">
        <f>IF(G176=0,Parametros!$E$8,Parametros!$E$6+Parametros!$E$6*(Parametros!$E$7/G176+I176)/(Parametros!$E$6+Parametros!$E$7/G176+I176))</f>
        <v/>
      </c>
      <c r="K176" s="2" t="inlineStr">
        <is>
          <t>2026-09-28 10:00</t>
        </is>
      </c>
      <c r="L176" s="7" t="inlineStr">
        <is>
          <t>Patamar baixo de ripple (suspeita DAQ)</t>
        </is>
      </c>
      <c r="M176" s="2">
        <f>IF(L176="Válido","Sim","Não")</f>
        <v/>
      </c>
      <c r="N176" s="2" t="inlineStr">
        <is>
          <t>Ripple x C mediano da config = 516 (esperado ~730 a 80W)</t>
        </is>
      </c>
    </row>
    <row r="177">
      <c r="A177" s="2" t="inlineStr">
        <is>
          <t>0Bracos_3000_R0110_80W_2026-09-28_10_00.csv</t>
        </is>
      </c>
      <c r="B177" s="2" t="inlineStr">
        <is>
          <t>80W_3000RPM_R0110</t>
        </is>
      </c>
      <c r="C177" s="2" t="n">
        <v>80</v>
      </c>
      <c r="D177" s="2" t="n">
        <v>3000</v>
      </c>
      <c r="E177" s="3">
        <f>D177*2/60</f>
        <v/>
      </c>
      <c r="F177" s="2" t="inlineStr">
        <is>
          <t>0110</t>
        </is>
      </c>
      <c r="G177" s="2" t="n">
        <v>0</v>
      </c>
      <c r="H177" s="2">
        <f>INDEX(Parametros!$B$2:$B$9,MATCH(G177,Parametros!$A$2:$A$9,0))</f>
        <v/>
      </c>
      <c r="I177" s="4">
        <f>1/(VALUE(MID(F177,1,1))/Parametros!$E$2+VALUE(MID(F177,2,1))/Parametros!$E$3+VALUE(MID(F177,3,1))/Parametros!$E$4+VALUE(MID(F177,4,1))/Parametros!$E$5)</f>
        <v/>
      </c>
      <c r="J177" s="5">
        <f>IF(G177=0,Parametros!$E$8,Parametros!$E$6+Parametros!$E$6*(Parametros!$E$7/G177+I177)/(Parametros!$E$6+Parametros!$E$7/G177+I177))</f>
        <v/>
      </c>
      <c r="K177" s="2" t="inlineStr">
        <is>
          <t>2026-09-28 10:00</t>
        </is>
      </c>
      <c r="L177" s="7" t="inlineStr">
        <is>
          <t>Patamar baixo de ripple (suspeita DAQ)</t>
        </is>
      </c>
      <c r="M177" s="2">
        <f>IF(L177="Válido","Sim","Não")</f>
        <v/>
      </c>
      <c r="N177" s="2" t="inlineStr">
        <is>
          <t>Ripple x C mediano da config = 516 (esperado ~730 a 80W)</t>
        </is>
      </c>
    </row>
    <row r="178">
      <c r="A178" s="2" t="inlineStr">
        <is>
          <t>7Bracos_3000_R0111_80W_2026-09-28_10_00.csv</t>
        </is>
      </c>
      <c r="B178" s="2" t="inlineStr">
        <is>
          <t>80W_3000RPM_R0111</t>
        </is>
      </c>
      <c r="C178" s="2" t="n">
        <v>80</v>
      </c>
      <c r="D178" s="2" t="n">
        <v>3000</v>
      </c>
      <c r="E178" s="3">
        <f>D178*2/60</f>
        <v/>
      </c>
      <c r="F178" s="2" t="inlineStr">
        <is>
          <t>0111</t>
        </is>
      </c>
      <c r="G178" s="2" t="n">
        <v>7</v>
      </c>
      <c r="H178" s="2">
        <f>INDEX(Parametros!$B$2:$B$9,MATCH(G178,Parametros!$A$2:$A$9,0))</f>
        <v/>
      </c>
      <c r="I178" s="4">
        <f>1/(VALUE(MID(F178,1,1))/Parametros!$E$2+VALUE(MID(F178,2,1))/Parametros!$E$3+VALUE(MID(F178,3,1))/Parametros!$E$4+VALUE(MID(F178,4,1))/Parametros!$E$5)</f>
        <v/>
      </c>
      <c r="J178" s="5">
        <f>IF(G178=0,Parametros!$E$8,Parametros!$E$6+Parametros!$E$6*(Parametros!$E$7/G178+I178)/(Parametros!$E$6+Parametros!$E$7/G178+I178))</f>
        <v/>
      </c>
      <c r="K178" s="2" t="inlineStr">
        <is>
          <t>2026-09-28 10:00</t>
        </is>
      </c>
      <c r="L178" s="7" t="inlineStr">
        <is>
          <t>Patamar baixo de ripple (suspeita DAQ)</t>
        </is>
      </c>
      <c r="M178" s="2">
        <f>IF(L178="Válido","Sim","Não")</f>
        <v/>
      </c>
      <c r="N178" s="2" t="inlineStr">
        <is>
          <t>Ripple x C mediano da config = 549 (esperado ~730 a 80W)</t>
        </is>
      </c>
    </row>
    <row r="179">
      <c r="A179" s="2" t="inlineStr">
        <is>
          <t>6Bracos_3000_R0111_80W_2026-09-28_10_00.csv</t>
        </is>
      </c>
      <c r="B179" s="2" t="inlineStr">
        <is>
          <t>80W_3000RPM_R0111</t>
        </is>
      </c>
      <c r="C179" s="2" t="n">
        <v>80</v>
      </c>
      <c r="D179" s="2" t="n">
        <v>3000</v>
      </c>
      <c r="E179" s="3">
        <f>D179*2/60</f>
        <v/>
      </c>
      <c r="F179" s="2" t="inlineStr">
        <is>
          <t>0111</t>
        </is>
      </c>
      <c r="G179" s="2" t="n">
        <v>6</v>
      </c>
      <c r="H179" s="2">
        <f>INDEX(Parametros!$B$2:$B$9,MATCH(G179,Parametros!$A$2:$A$9,0))</f>
        <v/>
      </c>
      <c r="I179" s="4">
        <f>1/(VALUE(MID(F179,1,1))/Parametros!$E$2+VALUE(MID(F179,2,1))/Parametros!$E$3+VALUE(MID(F179,3,1))/Parametros!$E$4+VALUE(MID(F179,4,1))/Parametros!$E$5)</f>
        <v/>
      </c>
      <c r="J179" s="5">
        <f>IF(G179=0,Parametros!$E$8,Parametros!$E$6+Parametros!$E$6*(Parametros!$E$7/G179+I179)/(Parametros!$E$6+Parametros!$E$7/G179+I179))</f>
        <v/>
      </c>
      <c r="K179" s="2" t="inlineStr">
        <is>
          <t>2026-09-28 10:00</t>
        </is>
      </c>
      <c r="L179" s="7" t="inlineStr">
        <is>
          <t>Patamar baixo de ripple (suspeita DAQ)</t>
        </is>
      </c>
      <c r="M179" s="2">
        <f>IF(L179="Válido","Sim","Não")</f>
        <v/>
      </c>
      <c r="N179" s="2" t="inlineStr">
        <is>
          <t>Ripple x C mediano da config = 549 (esperado ~730 a 80W)</t>
        </is>
      </c>
    </row>
    <row r="180">
      <c r="A180" s="2" t="inlineStr">
        <is>
          <t>5Bracos_3000_R0111_80W_2026-09-28_10_00.csv</t>
        </is>
      </c>
      <c r="B180" s="2" t="inlineStr">
        <is>
          <t>80W_3000RPM_R0111</t>
        </is>
      </c>
      <c r="C180" s="2" t="n">
        <v>80</v>
      </c>
      <c r="D180" s="2" t="n">
        <v>3000</v>
      </c>
      <c r="E180" s="3">
        <f>D180*2/60</f>
        <v/>
      </c>
      <c r="F180" s="2" t="inlineStr">
        <is>
          <t>0111</t>
        </is>
      </c>
      <c r="G180" s="2" t="n">
        <v>5</v>
      </c>
      <c r="H180" s="2">
        <f>INDEX(Parametros!$B$2:$B$9,MATCH(G180,Parametros!$A$2:$A$9,0))</f>
        <v/>
      </c>
      <c r="I180" s="4">
        <f>1/(VALUE(MID(F180,1,1))/Parametros!$E$2+VALUE(MID(F180,2,1))/Parametros!$E$3+VALUE(MID(F180,3,1))/Parametros!$E$4+VALUE(MID(F180,4,1))/Parametros!$E$5)</f>
        <v/>
      </c>
      <c r="J180" s="5">
        <f>IF(G180=0,Parametros!$E$8,Parametros!$E$6+Parametros!$E$6*(Parametros!$E$7/G180+I180)/(Parametros!$E$6+Parametros!$E$7/G180+I180))</f>
        <v/>
      </c>
      <c r="K180" s="2" t="inlineStr">
        <is>
          <t>2026-09-28 10:00</t>
        </is>
      </c>
      <c r="L180" s="7" t="inlineStr">
        <is>
          <t>Patamar baixo de ripple (suspeita DAQ)</t>
        </is>
      </c>
      <c r="M180" s="2">
        <f>IF(L180="Válido","Sim","Não")</f>
        <v/>
      </c>
      <c r="N180" s="2" t="inlineStr">
        <is>
          <t>Ripple x C mediano da config = 549 (esperado ~730 a 80W)</t>
        </is>
      </c>
    </row>
    <row r="181">
      <c r="A181" s="2" t="inlineStr">
        <is>
          <t>4Bracos_3000_R0111_80W_2026-09-28_10_00.csv</t>
        </is>
      </c>
      <c r="B181" s="2" t="inlineStr">
        <is>
          <t>80W_3000RPM_R0111</t>
        </is>
      </c>
      <c r="C181" s="2" t="n">
        <v>80</v>
      </c>
      <c r="D181" s="2" t="n">
        <v>3000</v>
      </c>
      <c r="E181" s="3">
        <f>D181*2/60</f>
        <v/>
      </c>
      <c r="F181" s="2" t="inlineStr">
        <is>
          <t>0111</t>
        </is>
      </c>
      <c r="G181" s="2" t="n">
        <v>4</v>
      </c>
      <c r="H181" s="2">
        <f>INDEX(Parametros!$B$2:$B$9,MATCH(G181,Parametros!$A$2:$A$9,0))</f>
        <v/>
      </c>
      <c r="I181" s="4">
        <f>1/(VALUE(MID(F181,1,1))/Parametros!$E$2+VALUE(MID(F181,2,1))/Parametros!$E$3+VALUE(MID(F181,3,1))/Parametros!$E$4+VALUE(MID(F181,4,1))/Parametros!$E$5)</f>
        <v/>
      </c>
      <c r="J181" s="5">
        <f>IF(G181=0,Parametros!$E$8,Parametros!$E$6+Parametros!$E$6*(Parametros!$E$7/G181+I181)/(Parametros!$E$6+Parametros!$E$7/G181+I181))</f>
        <v/>
      </c>
      <c r="K181" s="2" t="inlineStr">
        <is>
          <t>2026-09-28 10:00</t>
        </is>
      </c>
      <c r="L181" s="7" t="inlineStr">
        <is>
          <t>Patamar baixo de ripple (suspeita DAQ)</t>
        </is>
      </c>
      <c r="M181" s="2">
        <f>IF(L181="Válido","Sim","Não")</f>
        <v/>
      </c>
      <c r="N181" s="2" t="inlineStr">
        <is>
          <t>Ripple x C mediano da config = 549 (esperado ~730 a 80W)</t>
        </is>
      </c>
    </row>
    <row r="182">
      <c r="A182" s="2" t="inlineStr">
        <is>
          <t>3Bracos_3000_R0111_80W_2026-09-28_10_00.csv</t>
        </is>
      </c>
      <c r="B182" s="2" t="inlineStr">
        <is>
          <t>80W_3000RPM_R0111</t>
        </is>
      </c>
      <c r="C182" s="2" t="n">
        <v>80</v>
      </c>
      <c r="D182" s="2" t="n">
        <v>3000</v>
      </c>
      <c r="E182" s="3">
        <f>D182*2/60</f>
        <v/>
      </c>
      <c r="F182" s="2" t="inlineStr">
        <is>
          <t>0111</t>
        </is>
      </c>
      <c r="G182" s="2" t="n">
        <v>3</v>
      </c>
      <c r="H182" s="2">
        <f>INDEX(Parametros!$B$2:$B$9,MATCH(G182,Parametros!$A$2:$A$9,0))</f>
        <v/>
      </c>
      <c r="I182" s="4">
        <f>1/(VALUE(MID(F182,1,1))/Parametros!$E$2+VALUE(MID(F182,2,1))/Parametros!$E$3+VALUE(MID(F182,3,1))/Parametros!$E$4+VALUE(MID(F182,4,1))/Parametros!$E$5)</f>
        <v/>
      </c>
      <c r="J182" s="5">
        <f>IF(G182=0,Parametros!$E$8,Parametros!$E$6+Parametros!$E$6*(Parametros!$E$7/G182+I182)/(Parametros!$E$6+Parametros!$E$7/G182+I182))</f>
        <v/>
      </c>
      <c r="K182" s="2" t="inlineStr">
        <is>
          <t>2026-09-28 10:00</t>
        </is>
      </c>
      <c r="L182" s="7" t="inlineStr">
        <is>
          <t>Patamar baixo de ripple (suspeita DAQ)</t>
        </is>
      </c>
      <c r="M182" s="2">
        <f>IF(L182="Válido","Sim","Não")</f>
        <v/>
      </c>
      <c r="N182" s="2" t="inlineStr">
        <is>
          <t>Ripple x C mediano da config = 549 (esperado ~730 a 80W)</t>
        </is>
      </c>
    </row>
    <row r="183">
      <c r="A183" s="2" t="inlineStr">
        <is>
          <t>2Bracos_3000_R0111_80W_2026-09-28_10_00.csv</t>
        </is>
      </c>
      <c r="B183" s="2" t="inlineStr">
        <is>
          <t>80W_3000RPM_R0111</t>
        </is>
      </c>
      <c r="C183" s="2" t="n">
        <v>80</v>
      </c>
      <c r="D183" s="2" t="n">
        <v>3000</v>
      </c>
      <c r="E183" s="3">
        <f>D183*2/60</f>
        <v/>
      </c>
      <c r="F183" s="2" t="inlineStr">
        <is>
          <t>0111</t>
        </is>
      </c>
      <c r="G183" s="2" t="n">
        <v>2</v>
      </c>
      <c r="H183" s="2">
        <f>INDEX(Parametros!$B$2:$B$9,MATCH(G183,Parametros!$A$2:$A$9,0))</f>
        <v/>
      </c>
      <c r="I183" s="4">
        <f>1/(VALUE(MID(F183,1,1))/Parametros!$E$2+VALUE(MID(F183,2,1))/Parametros!$E$3+VALUE(MID(F183,3,1))/Parametros!$E$4+VALUE(MID(F183,4,1))/Parametros!$E$5)</f>
        <v/>
      </c>
      <c r="J183" s="5">
        <f>IF(G183=0,Parametros!$E$8,Parametros!$E$6+Parametros!$E$6*(Parametros!$E$7/G183+I183)/(Parametros!$E$6+Parametros!$E$7/G183+I183))</f>
        <v/>
      </c>
      <c r="K183" s="2" t="inlineStr">
        <is>
          <t>2026-09-28 10:00</t>
        </is>
      </c>
      <c r="L183" s="7" t="inlineStr">
        <is>
          <t>Patamar baixo de ripple (suspeita DAQ)</t>
        </is>
      </c>
      <c r="M183" s="2">
        <f>IF(L183="Válido","Sim","Não")</f>
        <v/>
      </c>
      <c r="N183" s="2" t="inlineStr">
        <is>
          <t>Ripple x C mediano da config = 549 (esperado ~730 a 80W)</t>
        </is>
      </c>
    </row>
    <row r="184">
      <c r="A184" s="2" t="inlineStr">
        <is>
          <t>1Bracos_3000_R0111_80W_2026-09-28_10_00.csv</t>
        </is>
      </c>
      <c r="B184" s="2" t="inlineStr">
        <is>
          <t>80W_3000RPM_R0111</t>
        </is>
      </c>
      <c r="C184" s="2" t="n">
        <v>80</v>
      </c>
      <c r="D184" s="2" t="n">
        <v>3000</v>
      </c>
      <c r="E184" s="3">
        <f>D184*2/60</f>
        <v/>
      </c>
      <c r="F184" s="2" t="inlineStr">
        <is>
          <t>0111</t>
        </is>
      </c>
      <c r="G184" s="2" t="n">
        <v>1</v>
      </c>
      <c r="H184" s="2">
        <f>INDEX(Parametros!$B$2:$B$9,MATCH(G184,Parametros!$A$2:$A$9,0))</f>
        <v/>
      </c>
      <c r="I184" s="4">
        <f>1/(VALUE(MID(F184,1,1))/Parametros!$E$2+VALUE(MID(F184,2,1))/Parametros!$E$3+VALUE(MID(F184,3,1))/Parametros!$E$4+VALUE(MID(F184,4,1))/Parametros!$E$5)</f>
        <v/>
      </c>
      <c r="J184" s="5">
        <f>IF(G184=0,Parametros!$E$8,Parametros!$E$6+Parametros!$E$6*(Parametros!$E$7/G184+I184)/(Parametros!$E$6+Parametros!$E$7/G184+I184))</f>
        <v/>
      </c>
      <c r="K184" s="2" t="inlineStr">
        <is>
          <t>2026-09-28 10:00</t>
        </is>
      </c>
      <c r="L184" s="7" t="inlineStr">
        <is>
          <t>Patamar baixo de ripple (suspeita DAQ)</t>
        </is>
      </c>
      <c r="M184" s="2">
        <f>IF(L184="Válido","Sim","Não")</f>
        <v/>
      </c>
      <c r="N184" s="2" t="inlineStr">
        <is>
          <t>Ripple x C mediano da config = 549 (esperado ~730 a 80W)</t>
        </is>
      </c>
    </row>
    <row r="185">
      <c r="A185" s="2" t="inlineStr">
        <is>
          <t>0Bracos_3000_R0111_80W_2026-09-28_10_00.csv</t>
        </is>
      </c>
      <c r="B185" s="2" t="inlineStr">
        <is>
          <t>80W_3000RPM_R0111</t>
        </is>
      </c>
      <c r="C185" s="2" t="n">
        <v>80</v>
      </c>
      <c r="D185" s="2" t="n">
        <v>3000</v>
      </c>
      <c r="E185" s="3">
        <f>D185*2/60</f>
        <v/>
      </c>
      <c r="F185" s="2" t="inlineStr">
        <is>
          <t>0111</t>
        </is>
      </c>
      <c r="G185" s="2" t="n">
        <v>0</v>
      </c>
      <c r="H185" s="2">
        <f>INDEX(Parametros!$B$2:$B$9,MATCH(G185,Parametros!$A$2:$A$9,0))</f>
        <v/>
      </c>
      <c r="I185" s="4">
        <f>1/(VALUE(MID(F185,1,1))/Parametros!$E$2+VALUE(MID(F185,2,1))/Parametros!$E$3+VALUE(MID(F185,3,1))/Parametros!$E$4+VALUE(MID(F185,4,1))/Parametros!$E$5)</f>
        <v/>
      </c>
      <c r="J185" s="5">
        <f>IF(G185=0,Parametros!$E$8,Parametros!$E$6+Parametros!$E$6*(Parametros!$E$7/G185+I185)/(Parametros!$E$6+Parametros!$E$7/G185+I185))</f>
        <v/>
      </c>
      <c r="K185" s="2" t="inlineStr">
        <is>
          <t>2026-09-28 10:00</t>
        </is>
      </c>
      <c r="L185" s="7" t="inlineStr">
        <is>
          <t>Patamar baixo de ripple (suspeita DAQ)</t>
        </is>
      </c>
      <c r="M185" s="2">
        <f>IF(L185="Válido","Sim","Não")</f>
        <v/>
      </c>
      <c r="N185" s="2" t="inlineStr">
        <is>
          <t>Ripple x C mediano da config = 549 (esperado ~730 a 80W)</t>
        </is>
      </c>
    </row>
    <row r="186">
      <c r="A186" s="2" t="inlineStr">
        <is>
          <t>7Bracos_3000_R1000_80W_2026-09-28_10_00.csv</t>
        </is>
      </c>
      <c r="B186" s="2" t="inlineStr">
        <is>
          <t>80W_3000RPM_R1000</t>
        </is>
      </c>
      <c r="C186" s="2" t="n">
        <v>80</v>
      </c>
      <c r="D186" s="2" t="n">
        <v>3000</v>
      </c>
      <c r="E186" s="3">
        <f>D186*2/60</f>
        <v/>
      </c>
      <c r="F186" s="2" t="inlineStr">
        <is>
          <t>1000</t>
        </is>
      </c>
      <c r="G186" s="2" t="n">
        <v>7</v>
      </c>
      <c r="H186" s="2">
        <f>INDEX(Parametros!$B$2:$B$9,MATCH(G186,Parametros!$A$2:$A$9,0))</f>
        <v/>
      </c>
      <c r="I186" s="4">
        <f>1/(VALUE(MID(F186,1,1))/Parametros!$E$2+VALUE(MID(F186,2,1))/Parametros!$E$3+VALUE(MID(F186,3,1))/Parametros!$E$4+VALUE(MID(F186,4,1))/Parametros!$E$5)</f>
        <v/>
      </c>
      <c r="J186" s="5">
        <f>IF(G186=0,Parametros!$E$8,Parametros!$E$6+Parametros!$E$6*(Parametros!$E$7/G186+I186)/(Parametros!$E$6+Parametros!$E$7/G186+I186))</f>
        <v/>
      </c>
      <c r="K186" s="2" t="inlineStr">
        <is>
          <t>2026-09-28 10:00</t>
        </is>
      </c>
      <c r="L186" s="7" t="inlineStr">
        <is>
          <t>Patamar baixo de ripple (suspeita DAQ)</t>
        </is>
      </c>
      <c r="M186" s="2">
        <f>IF(L186="Válido","Sim","Não")</f>
        <v/>
      </c>
      <c r="N186" s="2" t="inlineStr">
        <is>
          <t>Ripple x C mediano da config = 522 (esperado ~730 a 80W)</t>
        </is>
      </c>
    </row>
    <row r="187">
      <c r="A187" s="2" t="inlineStr">
        <is>
          <t>6Bracos_3000_R1000_80W_2026-09-28_10_00.csv</t>
        </is>
      </c>
      <c r="B187" s="2" t="inlineStr">
        <is>
          <t>80W_3000RPM_R1000</t>
        </is>
      </c>
      <c r="C187" s="2" t="n">
        <v>80</v>
      </c>
      <c r="D187" s="2" t="n">
        <v>3000</v>
      </c>
      <c r="E187" s="3">
        <f>D187*2/60</f>
        <v/>
      </c>
      <c r="F187" s="2" t="inlineStr">
        <is>
          <t>1000</t>
        </is>
      </c>
      <c r="G187" s="2" t="n">
        <v>6</v>
      </c>
      <c r="H187" s="2">
        <f>INDEX(Parametros!$B$2:$B$9,MATCH(G187,Parametros!$A$2:$A$9,0))</f>
        <v/>
      </c>
      <c r="I187" s="4">
        <f>1/(VALUE(MID(F187,1,1))/Parametros!$E$2+VALUE(MID(F187,2,1))/Parametros!$E$3+VALUE(MID(F187,3,1))/Parametros!$E$4+VALUE(MID(F187,4,1))/Parametros!$E$5)</f>
        <v/>
      </c>
      <c r="J187" s="5">
        <f>IF(G187=0,Parametros!$E$8,Parametros!$E$6+Parametros!$E$6*(Parametros!$E$7/G187+I187)/(Parametros!$E$6+Parametros!$E$7/G187+I187))</f>
        <v/>
      </c>
      <c r="K187" s="2" t="inlineStr">
        <is>
          <t>2026-09-28 10:00</t>
        </is>
      </c>
      <c r="L187" s="7" t="inlineStr">
        <is>
          <t>Patamar baixo de ripple (suspeita DAQ)</t>
        </is>
      </c>
      <c r="M187" s="2">
        <f>IF(L187="Válido","Sim","Não")</f>
        <v/>
      </c>
      <c r="N187" s="2" t="inlineStr">
        <is>
          <t>Ripple x C mediano da config = 522 (esperado ~730 a 80W)</t>
        </is>
      </c>
    </row>
    <row r="188">
      <c r="A188" s="2" t="inlineStr">
        <is>
          <t>5Bracos_3000_R1000_80W_2026-09-28_10_00.csv</t>
        </is>
      </c>
      <c r="B188" s="2" t="inlineStr">
        <is>
          <t>80W_3000RPM_R1000</t>
        </is>
      </c>
      <c r="C188" s="2" t="n">
        <v>80</v>
      </c>
      <c r="D188" s="2" t="n">
        <v>3000</v>
      </c>
      <c r="E188" s="3">
        <f>D188*2/60</f>
        <v/>
      </c>
      <c r="F188" s="2" t="inlineStr">
        <is>
          <t>1000</t>
        </is>
      </c>
      <c r="G188" s="2" t="n">
        <v>5</v>
      </c>
      <c r="H188" s="2">
        <f>INDEX(Parametros!$B$2:$B$9,MATCH(G188,Parametros!$A$2:$A$9,0))</f>
        <v/>
      </c>
      <c r="I188" s="4">
        <f>1/(VALUE(MID(F188,1,1))/Parametros!$E$2+VALUE(MID(F188,2,1))/Parametros!$E$3+VALUE(MID(F188,3,1))/Parametros!$E$4+VALUE(MID(F188,4,1))/Parametros!$E$5)</f>
        <v/>
      </c>
      <c r="J188" s="5">
        <f>IF(G188=0,Parametros!$E$8,Parametros!$E$6+Parametros!$E$6*(Parametros!$E$7/G188+I188)/(Parametros!$E$6+Parametros!$E$7/G188+I188))</f>
        <v/>
      </c>
      <c r="K188" s="2" t="inlineStr">
        <is>
          <t>2026-09-28 10:00</t>
        </is>
      </c>
      <c r="L188" s="7" t="inlineStr">
        <is>
          <t>Patamar baixo de ripple (suspeita DAQ)</t>
        </is>
      </c>
      <c r="M188" s="2">
        <f>IF(L188="Válido","Sim","Não")</f>
        <v/>
      </c>
      <c r="N188" s="2" t="inlineStr">
        <is>
          <t>Ripple x C mediano da config = 522 (esperado ~730 a 80W)</t>
        </is>
      </c>
    </row>
    <row r="189">
      <c r="A189" s="2" t="inlineStr">
        <is>
          <t>4Bracos_3000_R1000_80W_2026-09-28_10_00.csv</t>
        </is>
      </c>
      <c r="B189" s="2" t="inlineStr">
        <is>
          <t>80W_3000RPM_R1000</t>
        </is>
      </c>
      <c r="C189" s="2" t="n">
        <v>80</v>
      </c>
      <c r="D189" s="2" t="n">
        <v>3000</v>
      </c>
      <c r="E189" s="3">
        <f>D189*2/60</f>
        <v/>
      </c>
      <c r="F189" s="2" t="inlineStr">
        <is>
          <t>1000</t>
        </is>
      </c>
      <c r="G189" s="2" t="n">
        <v>4</v>
      </c>
      <c r="H189" s="2">
        <f>INDEX(Parametros!$B$2:$B$9,MATCH(G189,Parametros!$A$2:$A$9,0))</f>
        <v/>
      </c>
      <c r="I189" s="4">
        <f>1/(VALUE(MID(F189,1,1))/Parametros!$E$2+VALUE(MID(F189,2,1))/Parametros!$E$3+VALUE(MID(F189,3,1))/Parametros!$E$4+VALUE(MID(F189,4,1))/Parametros!$E$5)</f>
        <v/>
      </c>
      <c r="J189" s="5">
        <f>IF(G189=0,Parametros!$E$8,Parametros!$E$6+Parametros!$E$6*(Parametros!$E$7/G189+I189)/(Parametros!$E$6+Parametros!$E$7/G189+I189))</f>
        <v/>
      </c>
      <c r="K189" s="2" t="inlineStr">
        <is>
          <t>2026-09-28 10:00</t>
        </is>
      </c>
      <c r="L189" s="7" t="inlineStr">
        <is>
          <t>Patamar baixo de ripple (suspeita DAQ)</t>
        </is>
      </c>
      <c r="M189" s="2">
        <f>IF(L189="Válido","Sim","Não")</f>
        <v/>
      </c>
      <c r="N189" s="2" t="inlineStr">
        <is>
          <t>Ripple x C mediano da config = 522 (esperado ~730 a 80W)</t>
        </is>
      </c>
    </row>
    <row r="190">
      <c r="A190" s="2" t="inlineStr">
        <is>
          <t>3Bracos_3000_R1000_80W_2026-09-28_10_00.csv</t>
        </is>
      </c>
      <c r="B190" s="2" t="inlineStr">
        <is>
          <t>80W_3000RPM_R1000</t>
        </is>
      </c>
      <c r="C190" s="2" t="n">
        <v>80</v>
      </c>
      <c r="D190" s="2" t="n">
        <v>3000</v>
      </c>
      <c r="E190" s="3">
        <f>D190*2/60</f>
        <v/>
      </c>
      <c r="F190" s="2" t="inlineStr">
        <is>
          <t>1000</t>
        </is>
      </c>
      <c r="G190" s="2" t="n">
        <v>3</v>
      </c>
      <c r="H190" s="2">
        <f>INDEX(Parametros!$B$2:$B$9,MATCH(G190,Parametros!$A$2:$A$9,0))</f>
        <v/>
      </c>
      <c r="I190" s="4">
        <f>1/(VALUE(MID(F190,1,1))/Parametros!$E$2+VALUE(MID(F190,2,1))/Parametros!$E$3+VALUE(MID(F190,3,1))/Parametros!$E$4+VALUE(MID(F190,4,1))/Parametros!$E$5)</f>
        <v/>
      </c>
      <c r="J190" s="5">
        <f>IF(G190=0,Parametros!$E$8,Parametros!$E$6+Parametros!$E$6*(Parametros!$E$7/G190+I190)/(Parametros!$E$6+Parametros!$E$7/G190+I190))</f>
        <v/>
      </c>
      <c r="K190" s="2" t="inlineStr">
        <is>
          <t>2026-09-28 10:00</t>
        </is>
      </c>
      <c r="L190" s="7" t="inlineStr">
        <is>
          <t>Patamar baixo de ripple (suspeita DAQ)</t>
        </is>
      </c>
      <c r="M190" s="2">
        <f>IF(L190="Válido","Sim","Não")</f>
        <v/>
      </c>
      <c r="N190" s="2" t="inlineStr">
        <is>
          <t>Ripple x C mediano da config = 522 (esperado ~730 a 80W)</t>
        </is>
      </c>
    </row>
    <row r="191">
      <c r="A191" s="2" t="inlineStr">
        <is>
          <t>2Bracos_3000_R1000_80W_2026-09-28_10_00.csv</t>
        </is>
      </c>
      <c r="B191" s="2" t="inlineStr">
        <is>
          <t>80W_3000RPM_R1000</t>
        </is>
      </c>
      <c r="C191" s="2" t="n">
        <v>80</v>
      </c>
      <c r="D191" s="2" t="n">
        <v>3000</v>
      </c>
      <c r="E191" s="3">
        <f>D191*2/60</f>
        <v/>
      </c>
      <c r="F191" s="2" t="inlineStr">
        <is>
          <t>1000</t>
        </is>
      </c>
      <c r="G191" s="2" t="n">
        <v>2</v>
      </c>
      <c r="H191" s="2">
        <f>INDEX(Parametros!$B$2:$B$9,MATCH(G191,Parametros!$A$2:$A$9,0))</f>
        <v/>
      </c>
      <c r="I191" s="4">
        <f>1/(VALUE(MID(F191,1,1))/Parametros!$E$2+VALUE(MID(F191,2,1))/Parametros!$E$3+VALUE(MID(F191,3,1))/Parametros!$E$4+VALUE(MID(F191,4,1))/Parametros!$E$5)</f>
        <v/>
      </c>
      <c r="J191" s="5">
        <f>IF(G191=0,Parametros!$E$8,Parametros!$E$6+Parametros!$E$6*(Parametros!$E$7/G191+I191)/(Parametros!$E$6+Parametros!$E$7/G191+I191))</f>
        <v/>
      </c>
      <c r="K191" s="2" t="inlineStr">
        <is>
          <t>2026-09-28 10:00</t>
        </is>
      </c>
      <c r="L191" s="7" t="inlineStr">
        <is>
          <t>Patamar baixo de ripple (suspeita DAQ)</t>
        </is>
      </c>
      <c r="M191" s="2">
        <f>IF(L191="Válido","Sim","Não")</f>
        <v/>
      </c>
      <c r="N191" s="2" t="inlineStr">
        <is>
          <t>Ripple x C mediano da config = 522 (esperado ~730 a 80W)</t>
        </is>
      </c>
    </row>
    <row r="192">
      <c r="A192" s="2" t="inlineStr">
        <is>
          <t>1Bracos_3000_R1000_80W_2026-09-28_10_00.csv</t>
        </is>
      </c>
      <c r="B192" s="2" t="inlineStr">
        <is>
          <t>80W_3000RPM_R1000</t>
        </is>
      </c>
      <c r="C192" s="2" t="n">
        <v>80</v>
      </c>
      <c r="D192" s="2" t="n">
        <v>3000</v>
      </c>
      <c r="E192" s="3">
        <f>D192*2/60</f>
        <v/>
      </c>
      <c r="F192" s="2" t="inlineStr">
        <is>
          <t>1000</t>
        </is>
      </c>
      <c r="G192" s="2" t="n">
        <v>1</v>
      </c>
      <c r="H192" s="2">
        <f>INDEX(Parametros!$B$2:$B$9,MATCH(G192,Parametros!$A$2:$A$9,0))</f>
        <v/>
      </c>
      <c r="I192" s="4">
        <f>1/(VALUE(MID(F192,1,1))/Parametros!$E$2+VALUE(MID(F192,2,1))/Parametros!$E$3+VALUE(MID(F192,3,1))/Parametros!$E$4+VALUE(MID(F192,4,1))/Parametros!$E$5)</f>
        <v/>
      </c>
      <c r="J192" s="5">
        <f>IF(G192=0,Parametros!$E$8,Parametros!$E$6+Parametros!$E$6*(Parametros!$E$7/G192+I192)/(Parametros!$E$6+Parametros!$E$7/G192+I192))</f>
        <v/>
      </c>
      <c r="K192" s="2" t="inlineStr">
        <is>
          <t>2026-09-28 10:00</t>
        </is>
      </c>
      <c r="L192" s="7" t="inlineStr">
        <is>
          <t>Patamar baixo de ripple (suspeita DAQ)</t>
        </is>
      </c>
      <c r="M192" s="2">
        <f>IF(L192="Válido","Sim","Não")</f>
        <v/>
      </c>
      <c r="N192" s="2" t="inlineStr">
        <is>
          <t>Ripple x C mediano da config = 522 (esperado ~730 a 80W)</t>
        </is>
      </c>
    </row>
    <row r="193">
      <c r="A193" s="2" t="inlineStr">
        <is>
          <t>0Bracos_3000_R1000_80W_2026-09-28_10_00.csv</t>
        </is>
      </c>
      <c r="B193" s="2" t="inlineStr">
        <is>
          <t>80W_3000RPM_R1000</t>
        </is>
      </c>
      <c r="C193" s="2" t="n">
        <v>80</v>
      </c>
      <c r="D193" s="2" t="n">
        <v>3000</v>
      </c>
      <c r="E193" s="3">
        <f>D193*2/60</f>
        <v/>
      </c>
      <c r="F193" s="2" t="inlineStr">
        <is>
          <t>1000</t>
        </is>
      </c>
      <c r="G193" s="2" t="n">
        <v>0</v>
      </c>
      <c r="H193" s="2">
        <f>INDEX(Parametros!$B$2:$B$9,MATCH(G193,Parametros!$A$2:$A$9,0))</f>
        <v/>
      </c>
      <c r="I193" s="4">
        <f>1/(VALUE(MID(F193,1,1))/Parametros!$E$2+VALUE(MID(F193,2,1))/Parametros!$E$3+VALUE(MID(F193,3,1))/Parametros!$E$4+VALUE(MID(F193,4,1))/Parametros!$E$5)</f>
        <v/>
      </c>
      <c r="J193" s="5">
        <f>IF(G193=0,Parametros!$E$8,Parametros!$E$6+Parametros!$E$6*(Parametros!$E$7/G193+I193)/(Parametros!$E$6+Parametros!$E$7/G193+I193))</f>
        <v/>
      </c>
      <c r="K193" s="2" t="inlineStr">
        <is>
          <t>2026-09-28 10:00</t>
        </is>
      </c>
      <c r="L193" s="7" t="inlineStr">
        <is>
          <t>Patamar baixo de ripple (suspeita DAQ)</t>
        </is>
      </c>
      <c r="M193" s="2">
        <f>IF(L193="Válido","Sim","Não")</f>
        <v/>
      </c>
      <c r="N193" s="2" t="inlineStr">
        <is>
          <t>Ripple x C mediano da config = 522 (esperado ~730 a 80W)</t>
        </is>
      </c>
    </row>
    <row r="194">
      <c r="A194" s="2" t="inlineStr">
        <is>
          <t>7Bracos_3000_R1001_80W_2026-09-28_10_00.csv</t>
        </is>
      </c>
      <c r="B194" s="2" t="inlineStr">
        <is>
          <t>80W_3000RPM_R1001</t>
        </is>
      </c>
      <c r="C194" s="2" t="n">
        <v>80</v>
      </c>
      <c r="D194" s="2" t="n">
        <v>3000</v>
      </c>
      <c r="E194" s="3">
        <f>D194*2/60</f>
        <v/>
      </c>
      <c r="F194" s="2" t="inlineStr">
        <is>
          <t>1001</t>
        </is>
      </c>
      <c r="G194" s="2" t="n">
        <v>7</v>
      </c>
      <c r="H194" s="2">
        <f>INDEX(Parametros!$B$2:$B$9,MATCH(G194,Parametros!$A$2:$A$9,0))</f>
        <v/>
      </c>
      <c r="I194" s="4">
        <f>1/(VALUE(MID(F194,1,1))/Parametros!$E$2+VALUE(MID(F194,2,1))/Parametros!$E$3+VALUE(MID(F194,3,1))/Parametros!$E$4+VALUE(MID(F194,4,1))/Parametros!$E$5)</f>
        <v/>
      </c>
      <c r="J194" s="5">
        <f>IF(G194=0,Parametros!$E$8,Parametros!$E$6+Parametros!$E$6*(Parametros!$E$7/G194+I194)/(Parametros!$E$6+Parametros!$E$7/G194+I194))</f>
        <v/>
      </c>
      <c r="K194" s="2" t="inlineStr">
        <is>
          <t>2026-09-28 10:00</t>
        </is>
      </c>
      <c r="L194" s="7" t="inlineStr">
        <is>
          <t>Patamar baixo de ripple (suspeita DAQ)</t>
        </is>
      </c>
      <c r="M194" s="2">
        <f>IF(L194="Válido","Sim","Não")</f>
        <v/>
      </c>
      <c r="N194" s="2" t="inlineStr">
        <is>
          <t>Ripple x C mediano da config = 517 (esperado ~730 a 80W)</t>
        </is>
      </c>
    </row>
    <row r="195">
      <c r="A195" s="2" t="inlineStr">
        <is>
          <t>6Bracos_3000_R1001_80W_2026-09-28_10_00.csv</t>
        </is>
      </c>
      <c r="B195" s="2" t="inlineStr">
        <is>
          <t>80W_3000RPM_R1001</t>
        </is>
      </c>
      <c r="C195" s="2" t="n">
        <v>80</v>
      </c>
      <c r="D195" s="2" t="n">
        <v>3000</v>
      </c>
      <c r="E195" s="3">
        <f>D195*2/60</f>
        <v/>
      </c>
      <c r="F195" s="2" t="inlineStr">
        <is>
          <t>1001</t>
        </is>
      </c>
      <c r="G195" s="2" t="n">
        <v>6</v>
      </c>
      <c r="H195" s="2">
        <f>INDEX(Parametros!$B$2:$B$9,MATCH(G195,Parametros!$A$2:$A$9,0))</f>
        <v/>
      </c>
      <c r="I195" s="4">
        <f>1/(VALUE(MID(F195,1,1))/Parametros!$E$2+VALUE(MID(F195,2,1))/Parametros!$E$3+VALUE(MID(F195,3,1))/Parametros!$E$4+VALUE(MID(F195,4,1))/Parametros!$E$5)</f>
        <v/>
      </c>
      <c r="J195" s="5">
        <f>IF(G195=0,Parametros!$E$8,Parametros!$E$6+Parametros!$E$6*(Parametros!$E$7/G195+I195)/(Parametros!$E$6+Parametros!$E$7/G195+I195))</f>
        <v/>
      </c>
      <c r="K195" s="2" t="inlineStr">
        <is>
          <t>2026-09-28 10:00</t>
        </is>
      </c>
      <c r="L195" s="7" t="inlineStr">
        <is>
          <t>Patamar baixo de ripple (suspeita DAQ)</t>
        </is>
      </c>
      <c r="M195" s="2">
        <f>IF(L195="Válido","Sim","Não")</f>
        <v/>
      </c>
      <c r="N195" s="2" t="inlineStr">
        <is>
          <t>Ripple x C mediano da config = 517 (esperado ~730 a 80W)</t>
        </is>
      </c>
    </row>
    <row r="196">
      <c r="A196" s="2" t="inlineStr">
        <is>
          <t>5Bracos_3000_R1001_80W_2026-09-28_10_00.csv</t>
        </is>
      </c>
      <c r="B196" s="2" t="inlineStr">
        <is>
          <t>80W_3000RPM_R1001</t>
        </is>
      </c>
      <c r="C196" s="2" t="n">
        <v>80</v>
      </c>
      <c r="D196" s="2" t="n">
        <v>3000</v>
      </c>
      <c r="E196" s="3">
        <f>D196*2/60</f>
        <v/>
      </c>
      <c r="F196" s="2" t="inlineStr">
        <is>
          <t>1001</t>
        </is>
      </c>
      <c r="G196" s="2" t="n">
        <v>5</v>
      </c>
      <c r="H196" s="2">
        <f>INDEX(Parametros!$B$2:$B$9,MATCH(G196,Parametros!$A$2:$A$9,0))</f>
        <v/>
      </c>
      <c r="I196" s="4">
        <f>1/(VALUE(MID(F196,1,1))/Parametros!$E$2+VALUE(MID(F196,2,1))/Parametros!$E$3+VALUE(MID(F196,3,1))/Parametros!$E$4+VALUE(MID(F196,4,1))/Parametros!$E$5)</f>
        <v/>
      </c>
      <c r="J196" s="5">
        <f>IF(G196=0,Parametros!$E$8,Parametros!$E$6+Parametros!$E$6*(Parametros!$E$7/G196+I196)/(Parametros!$E$6+Parametros!$E$7/G196+I196))</f>
        <v/>
      </c>
      <c r="K196" s="2" t="inlineStr">
        <is>
          <t>2026-09-28 10:00</t>
        </is>
      </c>
      <c r="L196" s="7" t="inlineStr">
        <is>
          <t>Patamar baixo de ripple (suspeita DAQ)</t>
        </is>
      </c>
      <c r="M196" s="2">
        <f>IF(L196="Válido","Sim","Não")</f>
        <v/>
      </c>
      <c r="N196" s="2" t="inlineStr">
        <is>
          <t>Ripple x C mediano da config = 517 (esperado ~730 a 80W)</t>
        </is>
      </c>
    </row>
    <row r="197">
      <c r="A197" s="2" t="inlineStr">
        <is>
          <t>4Bracos_3000_R1001_80W_2026-09-28_10_00.csv</t>
        </is>
      </c>
      <c r="B197" s="2" t="inlineStr">
        <is>
          <t>80W_3000RPM_R1001</t>
        </is>
      </c>
      <c r="C197" s="2" t="n">
        <v>80</v>
      </c>
      <c r="D197" s="2" t="n">
        <v>3000</v>
      </c>
      <c r="E197" s="3">
        <f>D197*2/60</f>
        <v/>
      </c>
      <c r="F197" s="2" t="inlineStr">
        <is>
          <t>1001</t>
        </is>
      </c>
      <c r="G197" s="2" t="n">
        <v>4</v>
      </c>
      <c r="H197" s="2">
        <f>INDEX(Parametros!$B$2:$B$9,MATCH(G197,Parametros!$A$2:$A$9,0))</f>
        <v/>
      </c>
      <c r="I197" s="4">
        <f>1/(VALUE(MID(F197,1,1))/Parametros!$E$2+VALUE(MID(F197,2,1))/Parametros!$E$3+VALUE(MID(F197,3,1))/Parametros!$E$4+VALUE(MID(F197,4,1))/Parametros!$E$5)</f>
        <v/>
      </c>
      <c r="J197" s="5">
        <f>IF(G197=0,Parametros!$E$8,Parametros!$E$6+Parametros!$E$6*(Parametros!$E$7/G197+I197)/(Parametros!$E$6+Parametros!$E$7/G197+I197))</f>
        <v/>
      </c>
      <c r="K197" s="2" t="inlineStr">
        <is>
          <t>2026-09-28 10:00</t>
        </is>
      </c>
      <c r="L197" s="7" t="inlineStr">
        <is>
          <t>Patamar baixo de ripple (suspeita DAQ)</t>
        </is>
      </c>
      <c r="M197" s="2">
        <f>IF(L197="Válido","Sim","Não")</f>
        <v/>
      </c>
      <c r="N197" s="2" t="inlineStr">
        <is>
          <t>Ripple x C mediano da config = 517 (esperado ~730 a 80W)</t>
        </is>
      </c>
    </row>
    <row r="198">
      <c r="A198" s="2" t="inlineStr">
        <is>
          <t>3Bracos_3000_R1001_80W_2026-09-28_10_00.csv</t>
        </is>
      </c>
      <c r="B198" s="2" t="inlineStr">
        <is>
          <t>80W_3000RPM_R1001</t>
        </is>
      </c>
      <c r="C198" s="2" t="n">
        <v>80</v>
      </c>
      <c r="D198" s="2" t="n">
        <v>3000</v>
      </c>
      <c r="E198" s="3">
        <f>D198*2/60</f>
        <v/>
      </c>
      <c r="F198" s="2" t="inlineStr">
        <is>
          <t>1001</t>
        </is>
      </c>
      <c r="G198" s="2" t="n">
        <v>3</v>
      </c>
      <c r="H198" s="2">
        <f>INDEX(Parametros!$B$2:$B$9,MATCH(G198,Parametros!$A$2:$A$9,0))</f>
        <v/>
      </c>
      <c r="I198" s="4">
        <f>1/(VALUE(MID(F198,1,1))/Parametros!$E$2+VALUE(MID(F198,2,1))/Parametros!$E$3+VALUE(MID(F198,3,1))/Parametros!$E$4+VALUE(MID(F198,4,1))/Parametros!$E$5)</f>
        <v/>
      </c>
      <c r="J198" s="5">
        <f>IF(G198=0,Parametros!$E$8,Parametros!$E$6+Parametros!$E$6*(Parametros!$E$7/G198+I198)/(Parametros!$E$6+Parametros!$E$7/G198+I198))</f>
        <v/>
      </c>
      <c r="K198" s="2" t="inlineStr">
        <is>
          <t>2026-09-28 10:00</t>
        </is>
      </c>
      <c r="L198" s="7" t="inlineStr">
        <is>
          <t>Patamar baixo de ripple (suspeita DAQ)</t>
        </is>
      </c>
      <c r="M198" s="2">
        <f>IF(L198="Válido","Sim","Não")</f>
        <v/>
      </c>
      <c r="N198" s="2" t="inlineStr">
        <is>
          <t>Ripple x C mediano da config = 517 (esperado ~730 a 80W)</t>
        </is>
      </c>
    </row>
    <row r="199">
      <c r="A199" s="2" t="inlineStr">
        <is>
          <t>2Bracos_3000_R1001_80W_2026-09-28_10_00.csv</t>
        </is>
      </c>
      <c r="B199" s="2" t="inlineStr">
        <is>
          <t>80W_3000RPM_R1001</t>
        </is>
      </c>
      <c r="C199" s="2" t="n">
        <v>80</v>
      </c>
      <c r="D199" s="2" t="n">
        <v>3000</v>
      </c>
      <c r="E199" s="3">
        <f>D199*2/60</f>
        <v/>
      </c>
      <c r="F199" s="2" t="inlineStr">
        <is>
          <t>1001</t>
        </is>
      </c>
      <c r="G199" s="2" t="n">
        <v>2</v>
      </c>
      <c r="H199" s="2">
        <f>INDEX(Parametros!$B$2:$B$9,MATCH(G199,Parametros!$A$2:$A$9,0))</f>
        <v/>
      </c>
      <c r="I199" s="4">
        <f>1/(VALUE(MID(F199,1,1))/Parametros!$E$2+VALUE(MID(F199,2,1))/Parametros!$E$3+VALUE(MID(F199,3,1))/Parametros!$E$4+VALUE(MID(F199,4,1))/Parametros!$E$5)</f>
        <v/>
      </c>
      <c r="J199" s="5">
        <f>IF(G199=0,Parametros!$E$8,Parametros!$E$6+Parametros!$E$6*(Parametros!$E$7/G199+I199)/(Parametros!$E$6+Parametros!$E$7/G199+I199))</f>
        <v/>
      </c>
      <c r="K199" s="2" t="inlineStr">
        <is>
          <t>2026-09-28 10:00</t>
        </is>
      </c>
      <c r="L199" s="7" t="inlineStr">
        <is>
          <t>Patamar baixo de ripple (suspeita DAQ)</t>
        </is>
      </c>
      <c r="M199" s="2">
        <f>IF(L199="Válido","Sim","Não")</f>
        <v/>
      </c>
      <c r="N199" s="2" t="inlineStr">
        <is>
          <t>Ripple x C mediano da config = 517 (esperado ~730 a 80W)</t>
        </is>
      </c>
    </row>
    <row r="200">
      <c r="A200" s="2" t="inlineStr">
        <is>
          <t>1Bracos_3000_R1001_80W_2026-09-28_10_00.csv</t>
        </is>
      </c>
      <c r="B200" s="2" t="inlineStr">
        <is>
          <t>80W_3000RPM_R1001</t>
        </is>
      </c>
      <c r="C200" s="2" t="n">
        <v>80</v>
      </c>
      <c r="D200" s="2" t="n">
        <v>3000</v>
      </c>
      <c r="E200" s="3">
        <f>D200*2/60</f>
        <v/>
      </c>
      <c r="F200" s="2" t="inlineStr">
        <is>
          <t>1001</t>
        </is>
      </c>
      <c r="G200" s="2" t="n">
        <v>1</v>
      </c>
      <c r="H200" s="2">
        <f>INDEX(Parametros!$B$2:$B$9,MATCH(G200,Parametros!$A$2:$A$9,0))</f>
        <v/>
      </c>
      <c r="I200" s="4">
        <f>1/(VALUE(MID(F200,1,1))/Parametros!$E$2+VALUE(MID(F200,2,1))/Parametros!$E$3+VALUE(MID(F200,3,1))/Parametros!$E$4+VALUE(MID(F200,4,1))/Parametros!$E$5)</f>
        <v/>
      </c>
      <c r="J200" s="5">
        <f>IF(G200=0,Parametros!$E$8,Parametros!$E$6+Parametros!$E$6*(Parametros!$E$7/G200+I200)/(Parametros!$E$6+Parametros!$E$7/G200+I200))</f>
        <v/>
      </c>
      <c r="K200" s="2" t="inlineStr">
        <is>
          <t>2026-09-28 10:00</t>
        </is>
      </c>
      <c r="L200" s="7" t="inlineStr">
        <is>
          <t>Patamar baixo de ripple (suspeita DAQ)</t>
        </is>
      </c>
      <c r="M200" s="2">
        <f>IF(L200="Válido","Sim","Não")</f>
        <v/>
      </c>
      <c r="N200" s="2" t="inlineStr">
        <is>
          <t>Ripple x C mediano da config = 517 (esperado ~730 a 80W)</t>
        </is>
      </c>
    </row>
    <row r="201">
      <c r="A201" s="2" t="inlineStr">
        <is>
          <t>0Bracos_3000_R1001_80W_2026-09-28_10_00.csv</t>
        </is>
      </c>
      <c r="B201" s="2" t="inlineStr">
        <is>
          <t>80W_3000RPM_R1001</t>
        </is>
      </c>
      <c r="C201" s="2" t="n">
        <v>80</v>
      </c>
      <c r="D201" s="2" t="n">
        <v>3000</v>
      </c>
      <c r="E201" s="3">
        <f>D201*2/60</f>
        <v/>
      </c>
      <c r="F201" s="2" t="inlineStr">
        <is>
          <t>1001</t>
        </is>
      </c>
      <c r="G201" s="2" t="n">
        <v>0</v>
      </c>
      <c r="H201" s="2">
        <f>INDEX(Parametros!$B$2:$B$9,MATCH(G201,Parametros!$A$2:$A$9,0))</f>
        <v/>
      </c>
      <c r="I201" s="4">
        <f>1/(VALUE(MID(F201,1,1))/Parametros!$E$2+VALUE(MID(F201,2,1))/Parametros!$E$3+VALUE(MID(F201,3,1))/Parametros!$E$4+VALUE(MID(F201,4,1))/Parametros!$E$5)</f>
        <v/>
      </c>
      <c r="J201" s="5">
        <f>IF(G201=0,Parametros!$E$8,Parametros!$E$6+Parametros!$E$6*(Parametros!$E$7/G201+I201)/(Parametros!$E$6+Parametros!$E$7/G201+I201))</f>
        <v/>
      </c>
      <c r="K201" s="2" t="inlineStr">
        <is>
          <t>2026-09-28 10:00</t>
        </is>
      </c>
      <c r="L201" s="7" t="inlineStr">
        <is>
          <t>Patamar baixo de ripple (suspeita DAQ)</t>
        </is>
      </c>
      <c r="M201" s="2">
        <f>IF(L201="Válido","Sim","Não")</f>
        <v/>
      </c>
      <c r="N201" s="2" t="inlineStr">
        <is>
          <t>Ripple x C mediano da config = 517 (esperado ~730 a 80W)</t>
        </is>
      </c>
    </row>
    <row r="202">
      <c r="A202" s="2" t="inlineStr">
        <is>
          <t>7Bracos_3000_R1010_80W_2026-09-28_10_00.csv</t>
        </is>
      </c>
      <c r="B202" s="2" t="inlineStr">
        <is>
          <t>80W_3000RPM_R1010</t>
        </is>
      </c>
      <c r="C202" s="2" t="n">
        <v>80</v>
      </c>
      <c r="D202" s="2" t="n">
        <v>3000</v>
      </c>
      <c r="E202" s="3">
        <f>D202*2/60</f>
        <v/>
      </c>
      <c r="F202" s="2" t="inlineStr">
        <is>
          <t>1010</t>
        </is>
      </c>
      <c r="G202" s="2" t="n">
        <v>7</v>
      </c>
      <c r="H202" s="2">
        <f>INDEX(Parametros!$B$2:$B$9,MATCH(G202,Parametros!$A$2:$A$9,0))</f>
        <v/>
      </c>
      <c r="I202" s="4">
        <f>1/(VALUE(MID(F202,1,1))/Parametros!$E$2+VALUE(MID(F202,2,1))/Parametros!$E$3+VALUE(MID(F202,3,1))/Parametros!$E$4+VALUE(MID(F202,4,1))/Parametros!$E$5)</f>
        <v/>
      </c>
      <c r="J202" s="5">
        <f>IF(G202=0,Parametros!$E$8,Parametros!$E$6+Parametros!$E$6*(Parametros!$E$7/G202+I202)/(Parametros!$E$6+Parametros!$E$7/G202+I202))</f>
        <v/>
      </c>
      <c r="K202" s="2" t="inlineStr">
        <is>
          <t>2026-09-28 10:00</t>
        </is>
      </c>
      <c r="L202" s="7" t="inlineStr">
        <is>
          <t>Patamar baixo de ripple (suspeita DAQ)</t>
        </is>
      </c>
      <c r="M202" s="2">
        <f>IF(L202="Válido","Sim","Não")</f>
        <v/>
      </c>
      <c r="N202" s="2" t="inlineStr">
        <is>
          <t>Ripple x C mediano da config = 500 (esperado ~730 a 80W)</t>
        </is>
      </c>
    </row>
    <row r="203">
      <c r="A203" s="2" t="inlineStr">
        <is>
          <t>6Bracos_3000_R1010_80W_2026-09-28_10_00.csv</t>
        </is>
      </c>
      <c r="B203" s="2" t="inlineStr">
        <is>
          <t>80W_3000RPM_R1010</t>
        </is>
      </c>
      <c r="C203" s="2" t="n">
        <v>80</v>
      </c>
      <c r="D203" s="2" t="n">
        <v>3000</v>
      </c>
      <c r="E203" s="3">
        <f>D203*2/60</f>
        <v/>
      </c>
      <c r="F203" s="2" t="inlineStr">
        <is>
          <t>1010</t>
        </is>
      </c>
      <c r="G203" s="2" t="n">
        <v>6</v>
      </c>
      <c r="H203" s="2">
        <f>INDEX(Parametros!$B$2:$B$9,MATCH(G203,Parametros!$A$2:$A$9,0))</f>
        <v/>
      </c>
      <c r="I203" s="4">
        <f>1/(VALUE(MID(F203,1,1))/Parametros!$E$2+VALUE(MID(F203,2,1))/Parametros!$E$3+VALUE(MID(F203,3,1))/Parametros!$E$4+VALUE(MID(F203,4,1))/Parametros!$E$5)</f>
        <v/>
      </c>
      <c r="J203" s="5">
        <f>IF(G203=0,Parametros!$E$8,Parametros!$E$6+Parametros!$E$6*(Parametros!$E$7/G203+I203)/(Parametros!$E$6+Parametros!$E$7/G203+I203))</f>
        <v/>
      </c>
      <c r="K203" s="2" t="inlineStr">
        <is>
          <t>2026-09-28 10:00</t>
        </is>
      </c>
      <c r="L203" s="7" t="inlineStr">
        <is>
          <t>Patamar baixo de ripple (suspeita DAQ)</t>
        </is>
      </c>
      <c r="M203" s="2">
        <f>IF(L203="Válido","Sim","Não")</f>
        <v/>
      </c>
      <c r="N203" s="2" t="inlineStr">
        <is>
          <t>Ripple x C mediano da config = 500 (esperado ~730 a 80W)</t>
        </is>
      </c>
    </row>
    <row r="204">
      <c r="A204" s="2" t="inlineStr">
        <is>
          <t>5Bracos_3000_R1010_80W_2026-09-28_10_00.csv</t>
        </is>
      </c>
      <c r="B204" s="2" t="inlineStr">
        <is>
          <t>80W_3000RPM_R1010</t>
        </is>
      </c>
      <c r="C204" s="2" t="n">
        <v>80</v>
      </c>
      <c r="D204" s="2" t="n">
        <v>3000</v>
      </c>
      <c r="E204" s="3">
        <f>D204*2/60</f>
        <v/>
      </c>
      <c r="F204" s="2" t="inlineStr">
        <is>
          <t>1010</t>
        </is>
      </c>
      <c r="G204" s="2" t="n">
        <v>5</v>
      </c>
      <c r="H204" s="2">
        <f>INDEX(Parametros!$B$2:$B$9,MATCH(G204,Parametros!$A$2:$A$9,0))</f>
        <v/>
      </c>
      <c r="I204" s="4">
        <f>1/(VALUE(MID(F204,1,1))/Parametros!$E$2+VALUE(MID(F204,2,1))/Parametros!$E$3+VALUE(MID(F204,3,1))/Parametros!$E$4+VALUE(MID(F204,4,1))/Parametros!$E$5)</f>
        <v/>
      </c>
      <c r="J204" s="5">
        <f>IF(G204=0,Parametros!$E$8,Parametros!$E$6+Parametros!$E$6*(Parametros!$E$7/G204+I204)/(Parametros!$E$6+Parametros!$E$7/G204+I204))</f>
        <v/>
      </c>
      <c r="K204" s="2" t="inlineStr">
        <is>
          <t>2026-09-28 10:00</t>
        </is>
      </c>
      <c r="L204" s="7" t="inlineStr">
        <is>
          <t>Patamar baixo de ripple (suspeita DAQ)</t>
        </is>
      </c>
      <c r="M204" s="2">
        <f>IF(L204="Válido","Sim","Não")</f>
        <v/>
      </c>
      <c r="N204" s="2" t="inlineStr">
        <is>
          <t>Ripple x C mediano da config = 500 (esperado ~730 a 80W)</t>
        </is>
      </c>
    </row>
    <row r="205">
      <c r="A205" s="2" t="inlineStr">
        <is>
          <t>4Bracos_3000_R1010_80W_2026-09-28_10_00.csv</t>
        </is>
      </c>
      <c r="B205" s="2" t="inlineStr">
        <is>
          <t>80W_3000RPM_R1010</t>
        </is>
      </c>
      <c r="C205" s="2" t="n">
        <v>80</v>
      </c>
      <c r="D205" s="2" t="n">
        <v>3000</v>
      </c>
      <c r="E205" s="3">
        <f>D205*2/60</f>
        <v/>
      </c>
      <c r="F205" s="2" t="inlineStr">
        <is>
          <t>1010</t>
        </is>
      </c>
      <c r="G205" s="2" t="n">
        <v>4</v>
      </c>
      <c r="H205" s="2">
        <f>INDEX(Parametros!$B$2:$B$9,MATCH(G205,Parametros!$A$2:$A$9,0))</f>
        <v/>
      </c>
      <c r="I205" s="4">
        <f>1/(VALUE(MID(F205,1,1))/Parametros!$E$2+VALUE(MID(F205,2,1))/Parametros!$E$3+VALUE(MID(F205,3,1))/Parametros!$E$4+VALUE(MID(F205,4,1))/Parametros!$E$5)</f>
        <v/>
      </c>
      <c r="J205" s="5">
        <f>IF(G205=0,Parametros!$E$8,Parametros!$E$6+Parametros!$E$6*(Parametros!$E$7/G205+I205)/(Parametros!$E$6+Parametros!$E$7/G205+I205))</f>
        <v/>
      </c>
      <c r="K205" s="2" t="inlineStr">
        <is>
          <t>2026-09-28 10:00</t>
        </is>
      </c>
      <c r="L205" s="7" t="inlineStr">
        <is>
          <t>Patamar baixo de ripple (suspeita DAQ)</t>
        </is>
      </c>
      <c r="M205" s="2">
        <f>IF(L205="Válido","Sim","Não")</f>
        <v/>
      </c>
      <c r="N205" s="2" t="inlineStr">
        <is>
          <t>Ripple x C mediano da config = 500 (esperado ~730 a 80W)</t>
        </is>
      </c>
    </row>
    <row r="206">
      <c r="A206" s="2" t="inlineStr">
        <is>
          <t>3Bracos_3000_R1010_80W_2026-09-28_10_00.csv</t>
        </is>
      </c>
      <c r="B206" s="2" t="inlineStr">
        <is>
          <t>80W_3000RPM_R1010</t>
        </is>
      </c>
      <c r="C206" s="2" t="n">
        <v>80</v>
      </c>
      <c r="D206" s="2" t="n">
        <v>3000</v>
      </c>
      <c r="E206" s="3">
        <f>D206*2/60</f>
        <v/>
      </c>
      <c r="F206" s="2" t="inlineStr">
        <is>
          <t>1010</t>
        </is>
      </c>
      <c r="G206" s="2" t="n">
        <v>3</v>
      </c>
      <c r="H206" s="2">
        <f>INDEX(Parametros!$B$2:$B$9,MATCH(G206,Parametros!$A$2:$A$9,0))</f>
        <v/>
      </c>
      <c r="I206" s="4">
        <f>1/(VALUE(MID(F206,1,1))/Parametros!$E$2+VALUE(MID(F206,2,1))/Parametros!$E$3+VALUE(MID(F206,3,1))/Parametros!$E$4+VALUE(MID(F206,4,1))/Parametros!$E$5)</f>
        <v/>
      </c>
      <c r="J206" s="5">
        <f>IF(G206=0,Parametros!$E$8,Parametros!$E$6+Parametros!$E$6*(Parametros!$E$7/G206+I206)/(Parametros!$E$6+Parametros!$E$7/G206+I206))</f>
        <v/>
      </c>
      <c r="K206" s="2" t="inlineStr">
        <is>
          <t>2026-09-28 10:00</t>
        </is>
      </c>
      <c r="L206" s="7" t="inlineStr">
        <is>
          <t>Patamar baixo de ripple (suspeita DAQ)</t>
        </is>
      </c>
      <c r="M206" s="2">
        <f>IF(L206="Válido","Sim","Não")</f>
        <v/>
      </c>
      <c r="N206" s="2" t="inlineStr">
        <is>
          <t>Ripple x C mediano da config = 500 (esperado ~730 a 80W)</t>
        </is>
      </c>
    </row>
    <row r="207">
      <c r="A207" s="2" t="inlineStr">
        <is>
          <t>2Bracos_3000_R1010_80W_2026-09-28_10_00.csv</t>
        </is>
      </c>
      <c r="B207" s="2" t="inlineStr">
        <is>
          <t>80W_3000RPM_R1010</t>
        </is>
      </c>
      <c r="C207" s="2" t="n">
        <v>80</v>
      </c>
      <c r="D207" s="2" t="n">
        <v>3000</v>
      </c>
      <c r="E207" s="3">
        <f>D207*2/60</f>
        <v/>
      </c>
      <c r="F207" s="2" t="inlineStr">
        <is>
          <t>1010</t>
        </is>
      </c>
      <c r="G207" s="2" t="n">
        <v>2</v>
      </c>
      <c r="H207" s="2">
        <f>INDEX(Parametros!$B$2:$B$9,MATCH(G207,Parametros!$A$2:$A$9,0))</f>
        <v/>
      </c>
      <c r="I207" s="4">
        <f>1/(VALUE(MID(F207,1,1))/Parametros!$E$2+VALUE(MID(F207,2,1))/Parametros!$E$3+VALUE(MID(F207,3,1))/Parametros!$E$4+VALUE(MID(F207,4,1))/Parametros!$E$5)</f>
        <v/>
      </c>
      <c r="J207" s="5">
        <f>IF(G207=0,Parametros!$E$8,Parametros!$E$6+Parametros!$E$6*(Parametros!$E$7/G207+I207)/(Parametros!$E$6+Parametros!$E$7/G207+I207))</f>
        <v/>
      </c>
      <c r="K207" s="2" t="inlineStr">
        <is>
          <t>2026-09-28 10:00</t>
        </is>
      </c>
      <c r="L207" s="7" t="inlineStr">
        <is>
          <t>Patamar baixo de ripple (suspeita DAQ)</t>
        </is>
      </c>
      <c r="M207" s="2">
        <f>IF(L207="Válido","Sim","Não")</f>
        <v/>
      </c>
      <c r="N207" s="2" t="inlineStr">
        <is>
          <t>Ripple x C mediano da config = 500 (esperado ~730 a 80W)</t>
        </is>
      </c>
    </row>
    <row r="208">
      <c r="A208" s="2" t="inlineStr">
        <is>
          <t>1Bracos_3000_R1010_80W_2026-09-28_10_00.csv</t>
        </is>
      </c>
      <c r="B208" s="2" t="inlineStr">
        <is>
          <t>80W_3000RPM_R1010</t>
        </is>
      </c>
      <c r="C208" s="2" t="n">
        <v>80</v>
      </c>
      <c r="D208" s="2" t="n">
        <v>3000</v>
      </c>
      <c r="E208" s="3">
        <f>D208*2/60</f>
        <v/>
      </c>
      <c r="F208" s="2" t="inlineStr">
        <is>
          <t>1010</t>
        </is>
      </c>
      <c r="G208" s="2" t="n">
        <v>1</v>
      </c>
      <c r="H208" s="2">
        <f>INDEX(Parametros!$B$2:$B$9,MATCH(G208,Parametros!$A$2:$A$9,0))</f>
        <v/>
      </c>
      <c r="I208" s="4">
        <f>1/(VALUE(MID(F208,1,1))/Parametros!$E$2+VALUE(MID(F208,2,1))/Parametros!$E$3+VALUE(MID(F208,3,1))/Parametros!$E$4+VALUE(MID(F208,4,1))/Parametros!$E$5)</f>
        <v/>
      </c>
      <c r="J208" s="5">
        <f>IF(G208=0,Parametros!$E$8,Parametros!$E$6+Parametros!$E$6*(Parametros!$E$7/G208+I208)/(Parametros!$E$6+Parametros!$E$7/G208+I208))</f>
        <v/>
      </c>
      <c r="K208" s="2" t="inlineStr">
        <is>
          <t>2026-09-28 10:00</t>
        </is>
      </c>
      <c r="L208" s="7" t="inlineStr">
        <is>
          <t>Patamar baixo de ripple (suspeita DAQ)</t>
        </is>
      </c>
      <c r="M208" s="2">
        <f>IF(L208="Válido","Sim","Não")</f>
        <v/>
      </c>
      <c r="N208" s="2" t="inlineStr">
        <is>
          <t>Ripple x C mediano da config = 500 (esperado ~730 a 80W)</t>
        </is>
      </c>
    </row>
    <row r="209">
      <c r="A209" s="2" t="inlineStr">
        <is>
          <t>0Bracos_3000_R1010_80W_2026-09-28_10_00.csv</t>
        </is>
      </c>
      <c r="B209" s="2" t="inlineStr">
        <is>
          <t>80W_3000RPM_R1010</t>
        </is>
      </c>
      <c r="C209" s="2" t="n">
        <v>80</v>
      </c>
      <c r="D209" s="2" t="n">
        <v>3000</v>
      </c>
      <c r="E209" s="3">
        <f>D209*2/60</f>
        <v/>
      </c>
      <c r="F209" s="2" t="inlineStr">
        <is>
          <t>1010</t>
        </is>
      </c>
      <c r="G209" s="2" t="n">
        <v>0</v>
      </c>
      <c r="H209" s="2">
        <f>INDEX(Parametros!$B$2:$B$9,MATCH(G209,Parametros!$A$2:$A$9,0))</f>
        <v/>
      </c>
      <c r="I209" s="4">
        <f>1/(VALUE(MID(F209,1,1))/Parametros!$E$2+VALUE(MID(F209,2,1))/Parametros!$E$3+VALUE(MID(F209,3,1))/Parametros!$E$4+VALUE(MID(F209,4,1))/Parametros!$E$5)</f>
        <v/>
      </c>
      <c r="J209" s="5">
        <f>IF(G209=0,Parametros!$E$8,Parametros!$E$6+Parametros!$E$6*(Parametros!$E$7/G209+I209)/(Parametros!$E$6+Parametros!$E$7/G209+I209))</f>
        <v/>
      </c>
      <c r="K209" s="2" t="inlineStr">
        <is>
          <t>2026-09-28 10:00</t>
        </is>
      </c>
      <c r="L209" s="7" t="inlineStr">
        <is>
          <t>Patamar baixo de ripple (suspeita DAQ)</t>
        </is>
      </c>
      <c r="M209" s="2">
        <f>IF(L209="Válido","Sim","Não")</f>
        <v/>
      </c>
      <c r="N209" s="2" t="inlineStr">
        <is>
          <t>Ripple x C mediano da config = 500 (esperado ~730 a 80W)</t>
        </is>
      </c>
    </row>
    <row r="210">
      <c r="A210" s="2" t="inlineStr">
        <is>
          <t>7Bracos_3000_R1011_80W_2026-09-28_10_00.csv</t>
        </is>
      </c>
      <c r="B210" s="2" t="inlineStr">
        <is>
          <t>80W_3000RPM_R1011</t>
        </is>
      </c>
      <c r="C210" s="2" t="n">
        <v>80</v>
      </c>
      <c r="D210" s="2" t="n">
        <v>3000</v>
      </c>
      <c r="E210" s="3">
        <f>D210*2/60</f>
        <v/>
      </c>
      <c r="F210" s="2" t="inlineStr">
        <is>
          <t>1011</t>
        </is>
      </c>
      <c r="G210" s="2" t="n">
        <v>7</v>
      </c>
      <c r="H210" s="2">
        <f>INDEX(Parametros!$B$2:$B$9,MATCH(G210,Parametros!$A$2:$A$9,0))</f>
        <v/>
      </c>
      <c r="I210" s="4">
        <f>1/(VALUE(MID(F210,1,1))/Parametros!$E$2+VALUE(MID(F210,2,1))/Parametros!$E$3+VALUE(MID(F210,3,1))/Parametros!$E$4+VALUE(MID(F210,4,1))/Parametros!$E$5)</f>
        <v/>
      </c>
      <c r="J210" s="5">
        <f>IF(G210=0,Parametros!$E$8,Parametros!$E$6+Parametros!$E$6*(Parametros!$E$7/G210+I210)/(Parametros!$E$6+Parametros!$E$7/G210+I210))</f>
        <v/>
      </c>
      <c r="K210" s="2" t="inlineStr">
        <is>
          <t>2026-09-28 10:00</t>
        </is>
      </c>
      <c r="L210" s="7" t="inlineStr">
        <is>
          <t>Patamar baixo de ripple (suspeita DAQ)</t>
        </is>
      </c>
      <c r="M210" s="2">
        <f>IF(L210="Válido","Sim","Não")</f>
        <v/>
      </c>
      <c r="N210" s="2" t="inlineStr">
        <is>
          <t>Ripple x C mediano da config = 504 (esperado ~730 a 80W)</t>
        </is>
      </c>
    </row>
    <row r="211">
      <c r="A211" s="2" t="inlineStr">
        <is>
          <t>6Bracos_3000_R1011_80W_2026-09-28_10_00.csv</t>
        </is>
      </c>
      <c r="B211" s="2" t="inlineStr">
        <is>
          <t>80W_3000RPM_R1011</t>
        </is>
      </c>
      <c r="C211" s="2" t="n">
        <v>80</v>
      </c>
      <c r="D211" s="2" t="n">
        <v>3000</v>
      </c>
      <c r="E211" s="3">
        <f>D211*2/60</f>
        <v/>
      </c>
      <c r="F211" s="2" t="inlineStr">
        <is>
          <t>1011</t>
        </is>
      </c>
      <c r="G211" s="2" t="n">
        <v>6</v>
      </c>
      <c r="H211" s="2">
        <f>INDEX(Parametros!$B$2:$B$9,MATCH(G211,Parametros!$A$2:$A$9,0))</f>
        <v/>
      </c>
      <c r="I211" s="4">
        <f>1/(VALUE(MID(F211,1,1))/Parametros!$E$2+VALUE(MID(F211,2,1))/Parametros!$E$3+VALUE(MID(F211,3,1))/Parametros!$E$4+VALUE(MID(F211,4,1))/Parametros!$E$5)</f>
        <v/>
      </c>
      <c r="J211" s="5">
        <f>IF(G211=0,Parametros!$E$8,Parametros!$E$6+Parametros!$E$6*(Parametros!$E$7/G211+I211)/(Parametros!$E$6+Parametros!$E$7/G211+I211))</f>
        <v/>
      </c>
      <c r="K211" s="2" t="inlineStr">
        <is>
          <t>2026-09-28 10:00</t>
        </is>
      </c>
      <c r="L211" s="7" t="inlineStr">
        <is>
          <t>Patamar baixo de ripple (suspeita DAQ)</t>
        </is>
      </c>
      <c r="M211" s="2">
        <f>IF(L211="Válido","Sim","Não")</f>
        <v/>
      </c>
      <c r="N211" s="2" t="inlineStr">
        <is>
          <t>Ripple x C mediano da config = 504 (esperado ~730 a 80W)</t>
        </is>
      </c>
    </row>
    <row r="212">
      <c r="A212" s="2" t="inlineStr">
        <is>
          <t>5Bracos_3000_R1011_80W_2026-09-28_10_00.csv</t>
        </is>
      </c>
      <c r="B212" s="2" t="inlineStr">
        <is>
          <t>80W_3000RPM_R1011</t>
        </is>
      </c>
      <c r="C212" s="2" t="n">
        <v>80</v>
      </c>
      <c r="D212" s="2" t="n">
        <v>3000</v>
      </c>
      <c r="E212" s="3">
        <f>D212*2/60</f>
        <v/>
      </c>
      <c r="F212" s="2" t="inlineStr">
        <is>
          <t>1011</t>
        </is>
      </c>
      <c r="G212" s="2" t="n">
        <v>5</v>
      </c>
      <c r="H212" s="2">
        <f>INDEX(Parametros!$B$2:$B$9,MATCH(G212,Parametros!$A$2:$A$9,0))</f>
        <v/>
      </c>
      <c r="I212" s="4">
        <f>1/(VALUE(MID(F212,1,1))/Parametros!$E$2+VALUE(MID(F212,2,1))/Parametros!$E$3+VALUE(MID(F212,3,1))/Parametros!$E$4+VALUE(MID(F212,4,1))/Parametros!$E$5)</f>
        <v/>
      </c>
      <c r="J212" s="5">
        <f>IF(G212=0,Parametros!$E$8,Parametros!$E$6+Parametros!$E$6*(Parametros!$E$7/G212+I212)/(Parametros!$E$6+Parametros!$E$7/G212+I212))</f>
        <v/>
      </c>
      <c r="K212" s="2" t="inlineStr">
        <is>
          <t>2026-09-28 10:00</t>
        </is>
      </c>
      <c r="L212" s="7" t="inlineStr">
        <is>
          <t>Patamar baixo de ripple (suspeita DAQ)</t>
        </is>
      </c>
      <c r="M212" s="2">
        <f>IF(L212="Válido","Sim","Não")</f>
        <v/>
      </c>
      <c r="N212" s="2" t="inlineStr">
        <is>
          <t>Ripple x C mediano da config = 504 (esperado ~730 a 80W)</t>
        </is>
      </c>
    </row>
    <row r="213">
      <c r="A213" s="2" t="inlineStr">
        <is>
          <t>4Bracos_3000_R1011_80W_2026-09-28_10_00.csv</t>
        </is>
      </c>
      <c r="B213" s="2" t="inlineStr">
        <is>
          <t>80W_3000RPM_R1011</t>
        </is>
      </c>
      <c r="C213" s="2" t="n">
        <v>80</v>
      </c>
      <c r="D213" s="2" t="n">
        <v>3000</v>
      </c>
      <c r="E213" s="3">
        <f>D213*2/60</f>
        <v/>
      </c>
      <c r="F213" s="2" t="inlineStr">
        <is>
          <t>1011</t>
        </is>
      </c>
      <c r="G213" s="2" t="n">
        <v>4</v>
      </c>
      <c r="H213" s="2">
        <f>INDEX(Parametros!$B$2:$B$9,MATCH(G213,Parametros!$A$2:$A$9,0))</f>
        <v/>
      </c>
      <c r="I213" s="4">
        <f>1/(VALUE(MID(F213,1,1))/Parametros!$E$2+VALUE(MID(F213,2,1))/Parametros!$E$3+VALUE(MID(F213,3,1))/Parametros!$E$4+VALUE(MID(F213,4,1))/Parametros!$E$5)</f>
        <v/>
      </c>
      <c r="J213" s="5">
        <f>IF(G213=0,Parametros!$E$8,Parametros!$E$6+Parametros!$E$6*(Parametros!$E$7/G213+I213)/(Parametros!$E$6+Parametros!$E$7/G213+I213))</f>
        <v/>
      </c>
      <c r="K213" s="2" t="inlineStr">
        <is>
          <t>2026-09-28 10:00</t>
        </is>
      </c>
      <c r="L213" s="7" t="inlineStr">
        <is>
          <t>Patamar baixo de ripple (suspeita DAQ)</t>
        </is>
      </c>
      <c r="M213" s="2">
        <f>IF(L213="Válido","Sim","Não")</f>
        <v/>
      </c>
      <c r="N213" s="2" t="inlineStr">
        <is>
          <t>Ripple x C mediano da config = 504 (esperado ~730 a 80W)</t>
        </is>
      </c>
    </row>
    <row r="214">
      <c r="A214" s="2" t="inlineStr">
        <is>
          <t>3Bracos_3000_R1011_80W_2026-09-28_10_00.csv</t>
        </is>
      </c>
      <c r="B214" s="2" t="inlineStr">
        <is>
          <t>80W_3000RPM_R1011</t>
        </is>
      </c>
      <c r="C214" s="2" t="n">
        <v>80</v>
      </c>
      <c r="D214" s="2" t="n">
        <v>3000</v>
      </c>
      <c r="E214" s="3">
        <f>D214*2/60</f>
        <v/>
      </c>
      <c r="F214" s="2" t="inlineStr">
        <is>
          <t>1011</t>
        </is>
      </c>
      <c r="G214" s="2" t="n">
        <v>3</v>
      </c>
      <c r="H214" s="2">
        <f>INDEX(Parametros!$B$2:$B$9,MATCH(G214,Parametros!$A$2:$A$9,0))</f>
        <v/>
      </c>
      <c r="I214" s="4">
        <f>1/(VALUE(MID(F214,1,1))/Parametros!$E$2+VALUE(MID(F214,2,1))/Parametros!$E$3+VALUE(MID(F214,3,1))/Parametros!$E$4+VALUE(MID(F214,4,1))/Parametros!$E$5)</f>
        <v/>
      </c>
      <c r="J214" s="5">
        <f>IF(G214=0,Parametros!$E$8,Parametros!$E$6+Parametros!$E$6*(Parametros!$E$7/G214+I214)/(Parametros!$E$6+Parametros!$E$7/G214+I214))</f>
        <v/>
      </c>
      <c r="K214" s="2" t="inlineStr">
        <is>
          <t>2026-09-28 10:00</t>
        </is>
      </c>
      <c r="L214" s="7" t="inlineStr">
        <is>
          <t>Patamar baixo de ripple (suspeita DAQ)</t>
        </is>
      </c>
      <c r="M214" s="2">
        <f>IF(L214="Válido","Sim","Não")</f>
        <v/>
      </c>
      <c r="N214" s="2" t="inlineStr">
        <is>
          <t>Ripple x C mediano da config = 504 (esperado ~730 a 80W)</t>
        </is>
      </c>
    </row>
    <row r="215">
      <c r="A215" s="2" t="inlineStr">
        <is>
          <t>2Bracos_3000_R1011_80W_2026-09-28_10_00.csv</t>
        </is>
      </c>
      <c r="B215" s="2" t="inlineStr">
        <is>
          <t>80W_3000RPM_R1011</t>
        </is>
      </c>
      <c r="C215" s="2" t="n">
        <v>80</v>
      </c>
      <c r="D215" s="2" t="n">
        <v>3000</v>
      </c>
      <c r="E215" s="3">
        <f>D215*2/60</f>
        <v/>
      </c>
      <c r="F215" s="2" t="inlineStr">
        <is>
          <t>1011</t>
        </is>
      </c>
      <c r="G215" s="2" t="n">
        <v>2</v>
      </c>
      <c r="H215" s="2">
        <f>INDEX(Parametros!$B$2:$B$9,MATCH(G215,Parametros!$A$2:$A$9,0))</f>
        <v/>
      </c>
      <c r="I215" s="4">
        <f>1/(VALUE(MID(F215,1,1))/Parametros!$E$2+VALUE(MID(F215,2,1))/Parametros!$E$3+VALUE(MID(F215,3,1))/Parametros!$E$4+VALUE(MID(F215,4,1))/Parametros!$E$5)</f>
        <v/>
      </c>
      <c r="J215" s="5">
        <f>IF(G215=0,Parametros!$E$8,Parametros!$E$6+Parametros!$E$6*(Parametros!$E$7/G215+I215)/(Parametros!$E$6+Parametros!$E$7/G215+I215))</f>
        <v/>
      </c>
      <c r="K215" s="2" t="inlineStr">
        <is>
          <t>2026-09-28 10:00</t>
        </is>
      </c>
      <c r="L215" s="7" t="inlineStr">
        <is>
          <t>Patamar baixo de ripple (suspeita DAQ)</t>
        </is>
      </c>
      <c r="M215" s="2">
        <f>IF(L215="Válido","Sim","Não")</f>
        <v/>
      </c>
      <c r="N215" s="2" t="inlineStr">
        <is>
          <t>Ripple x C mediano da config = 504 (esperado ~730 a 80W)</t>
        </is>
      </c>
    </row>
    <row r="216">
      <c r="A216" s="2" t="inlineStr">
        <is>
          <t>1Bracos_3000_R1011_80W_2026-09-28_10_00.csv</t>
        </is>
      </c>
      <c r="B216" s="2" t="inlineStr">
        <is>
          <t>80W_3000RPM_R1011</t>
        </is>
      </c>
      <c r="C216" s="2" t="n">
        <v>80</v>
      </c>
      <c r="D216" s="2" t="n">
        <v>3000</v>
      </c>
      <c r="E216" s="3">
        <f>D216*2/60</f>
        <v/>
      </c>
      <c r="F216" s="2" t="inlineStr">
        <is>
          <t>1011</t>
        </is>
      </c>
      <c r="G216" s="2" t="n">
        <v>1</v>
      </c>
      <c r="H216" s="2">
        <f>INDEX(Parametros!$B$2:$B$9,MATCH(G216,Parametros!$A$2:$A$9,0))</f>
        <v/>
      </c>
      <c r="I216" s="4">
        <f>1/(VALUE(MID(F216,1,1))/Parametros!$E$2+VALUE(MID(F216,2,1))/Parametros!$E$3+VALUE(MID(F216,3,1))/Parametros!$E$4+VALUE(MID(F216,4,1))/Parametros!$E$5)</f>
        <v/>
      </c>
      <c r="J216" s="5">
        <f>IF(G216=0,Parametros!$E$8,Parametros!$E$6+Parametros!$E$6*(Parametros!$E$7/G216+I216)/(Parametros!$E$6+Parametros!$E$7/G216+I216))</f>
        <v/>
      </c>
      <c r="K216" s="2" t="inlineStr">
        <is>
          <t>2026-09-28 10:00</t>
        </is>
      </c>
      <c r="L216" s="7" t="inlineStr">
        <is>
          <t>Patamar baixo de ripple (suspeita DAQ)</t>
        </is>
      </c>
      <c r="M216" s="2">
        <f>IF(L216="Válido","Sim","Não")</f>
        <v/>
      </c>
      <c r="N216" s="2" t="inlineStr">
        <is>
          <t>Ripple x C mediano da config = 504 (esperado ~730 a 80W)</t>
        </is>
      </c>
    </row>
    <row r="217">
      <c r="A217" s="2" t="inlineStr">
        <is>
          <t>0Bracos_3000_R1011_80W_2026-09-28_10_00.csv</t>
        </is>
      </c>
      <c r="B217" s="2" t="inlineStr">
        <is>
          <t>80W_3000RPM_R1011</t>
        </is>
      </c>
      <c r="C217" s="2" t="n">
        <v>80</v>
      </c>
      <c r="D217" s="2" t="n">
        <v>3000</v>
      </c>
      <c r="E217" s="3">
        <f>D217*2/60</f>
        <v/>
      </c>
      <c r="F217" s="2" t="inlineStr">
        <is>
          <t>1011</t>
        </is>
      </c>
      <c r="G217" s="2" t="n">
        <v>0</v>
      </c>
      <c r="H217" s="2">
        <f>INDEX(Parametros!$B$2:$B$9,MATCH(G217,Parametros!$A$2:$A$9,0))</f>
        <v/>
      </c>
      <c r="I217" s="4">
        <f>1/(VALUE(MID(F217,1,1))/Parametros!$E$2+VALUE(MID(F217,2,1))/Parametros!$E$3+VALUE(MID(F217,3,1))/Parametros!$E$4+VALUE(MID(F217,4,1))/Parametros!$E$5)</f>
        <v/>
      </c>
      <c r="J217" s="5">
        <f>IF(G217=0,Parametros!$E$8,Parametros!$E$6+Parametros!$E$6*(Parametros!$E$7/G217+I217)/(Parametros!$E$6+Parametros!$E$7/G217+I217))</f>
        <v/>
      </c>
      <c r="K217" s="2" t="inlineStr">
        <is>
          <t>2026-09-28 10:00</t>
        </is>
      </c>
      <c r="L217" s="7" t="inlineStr">
        <is>
          <t>Patamar baixo de ripple (suspeita DAQ)</t>
        </is>
      </c>
      <c r="M217" s="2">
        <f>IF(L217="Válido","Sim","Não")</f>
        <v/>
      </c>
      <c r="N217" s="2" t="inlineStr">
        <is>
          <t>Ripple x C mediano da config = 504 (esperado ~730 a 80W)</t>
        </is>
      </c>
    </row>
    <row r="218">
      <c r="A218" s="2" t="inlineStr">
        <is>
          <t>7Bracos_3000_R1100_80W_2026-10-09_12_20.csv</t>
        </is>
      </c>
      <c r="B218" s="2" t="inlineStr">
        <is>
          <t>80W_3000RPM_R1100</t>
        </is>
      </c>
      <c r="C218" s="2" t="n">
        <v>80</v>
      </c>
      <c r="D218" s="2" t="n">
        <v>3000</v>
      </c>
      <c r="E218" s="3">
        <f>D218*2/60</f>
        <v/>
      </c>
      <c r="F218" s="2" t="inlineStr">
        <is>
          <t>1100</t>
        </is>
      </c>
      <c r="G218" s="2" t="n">
        <v>7</v>
      </c>
      <c r="H218" s="2">
        <f>INDEX(Parametros!$B$2:$B$9,MATCH(G218,Parametros!$A$2:$A$9,0))</f>
        <v/>
      </c>
      <c r="I218" s="4">
        <f>1/(VALUE(MID(F218,1,1))/Parametros!$E$2+VALUE(MID(F218,2,1))/Parametros!$E$3+VALUE(MID(F218,3,1))/Parametros!$E$4+VALUE(MID(F218,4,1))/Parametros!$E$5)</f>
        <v/>
      </c>
      <c r="J218" s="5">
        <f>IF(G218=0,Parametros!$E$8,Parametros!$E$6+Parametros!$E$6*(Parametros!$E$7/G218+I218)/(Parametros!$E$6+Parametros!$E$7/G218+I218))</f>
        <v/>
      </c>
      <c r="K218" s="2" t="inlineStr">
        <is>
          <t>2026-10-09 12:20</t>
        </is>
      </c>
      <c r="L218" s="6" t="inlineStr">
        <is>
          <t>Válido</t>
        </is>
      </c>
      <c r="M218" s="2">
        <f>IF(L218="Válido","Sim","Não")</f>
        <v/>
      </c>
      <c r="N218" s="2" t="inlineStr"/>
    </row>
    <row r="219">
      <c r="A219" s="2" t="inlineStr">
        <is>
          <t>6Bracos_3000_R1100_80W_2026-10-09_12_20.csv</t>
        </is>
      </c>
      <c r="B219" s="2" t="inlineStr">
        <is>
          <t>80W_3000RPM_R1100</t>
        </is>
      </c>
      <c r="C219" s="2" t="n">
        <v>80</v>
      </c>
      <c r="D219" s="2" t="n">
        <v>3000</v>
      </c>
      <c r="E219" s="3">
        <f>D219*2/60</f>
        <v/>
      </c>
      <c r="F219" s="2" t="inlineStr">
        <is>
          <t>1100</t>
        </is>
      </c>
      <c r="G219" s="2" t="n">
        <v>6</v>
      </c>
      <c r="H219" s="2">
        <f>INDEX(Parametros!$B$2:$B$9,MATCH(G219,Parametros!$A$2:$A$9,0))</f>
        <v/>
      </c>
      <c r="I219" s="4">
        <f>1/(VALUE(MID(F219,1,1))/Parametros!$E$2+VALUE(MID(F219,2,1))/Parametros!$E$3+VALUE(MID(F219,3,1))/Parametros!$E$4+VALUE(MID(F219,4,1))/Parametros!$E$5)</f>
        <v/>
      </c>
      <c r="J219" s="5">
        <f>IF(G219=0,Parametros!$E$8,Parametros!$E$6+Parametros!$E$6*(Parametros!$E$7/G219+I219)/(Parametros!$E$6+Parametros!$E$7/G219+I219))</f>
        <v/>
      </c>
      <c r="K219" s="2" t="inlineStr">
        <is>
          <t>2026-10-09 12:20</t>
        </is>
      </c>
      <c r="L219" s="6" t="inlineStr">
        <is>
          <t>Válido</t>
        </is>
      </c>
      <c r="M219" s="2">
        <f>IF(L219="Válido","Sim","Não")</f>
        <v/>
      </c>
      <c r="N219" s="2" t="inlineStr"/>
    </row>
    <row r="220">
      <c r="A220" s="2" t="inlineStr">
        <is>
          <t>5Bracos_3000_R1100_80W_2026-10-09_12_20.csv</t>
        </is>
      </c>
      <c r="B220" s="2" t="inlineStr">
        <is>
          <t>80W_3000RPM_R1100</t>
        </is>
      </c>
      <c r="C220" s="2" t="n">
        <v>80</v>
      </c>
      <c r="D220" s="2" t="n">
        <v>3000</v>
      </c>
      <c r="E220" s="3">
        <f>D220*2/60</f>
        <v/>
      </c>
      <c r="F220" s="2" t="inlineStr">
        <is>
          <t>1100</t>
        </is>
      </c>
      <c r="G220" s="2" t="n">
        <v>5</v>
      </c>
      <c r="H220" s="2">
        <f>INDEX(Parametros!$B$2:$B$9,MATCH(G220,Parametros!$A$2:$A$9,0))</f>
        <v/>
      </c>
      <c r="I220" s="4">
        <f>1/(VALUE(MID(F220,1,1))/Parametros!$E$2+VALUE(MID(F220,2,1))/Parametros!$E$3+VALUE(MID(F220,3,1))/Parametros!$E$4+VALUE(MID(F220,4,1))/Parametros!$E$5)</f>
        <v/>
      </c>
      <c r="J220" s="5">
        <f>IF(G220=0,Parametros!$E$8,Parametros!$E$6+Parametros!$E$6*(Parametros!$E$7/G220+I220)/(Parametros!$E$6+Parametros!$E$7/G220+I220))</f>
        <v/>
      </c>
      <c r="K220" s="2" t="inlineStr">
        <is>
          <t>2026-10-09 12:20</t>
        </is>
      </c>
      <c r="L220" s="6" t="inlineStr">
        <is>
          <t>Válido</t>
        </is>
      </c>
      <c r="M220" s="2">
        <f>IF(L220="Válido","Sim","Não")</f>
        <v/>
      </c>
      <c r="N220" s="2" t="inlineStr"/>
    </row>
    <row r="221">
      <c r="A221" s="2" t="inlineStr">
        <is>
          <t>4Bracos_3000_R1100_80W_2026-10-09_12_20.csv</t>
        </is>
      </c>
      <c r="B221" s="2" t="inlineStr">
        <is>
          <t>80W_3000RPM_R1100</t>
        </is>
      </c>
      <c r="C221" s="2" t="n">
        <v>80</v>
      </c>
      <c r="D221" s="2" t="n">
        <v>3000</v>
      </c>
      <c r="E221" s="3">
        <f>D221*2/60</f>
        <v/>
      </c>
      <c r="F221" s="2" t="inlineStr">
        <is>
          <t>1100</t>
        </is>
      </c>
      <c r="G221" s="2" t="n">
        <v>4</v>
      </c>
      <c r="H221" s="2">
        <f>INDEX(Parametros!$B$2:$B$9,MATCH(G221,Parametros!$A$2:$A$9,0))</f>
        <v/>
      </c>
      <c r="I221" s="4">
        <f>1/(VALUE(MID(F221,1,1))/Parametros!$E$2+VALUE(MID(F221,2,1))/Parametros!$E$3+VALUE(MID(F221,3,1))/Parametros!$E$4+VALUE(MID(F221,4,1))/Parametros!$E$5)</f>
        <v/>
      </c>
      <c r="J221" s="5">
        <f>IF(G221=0,Parametros!$E$8,Parametros!$E$6+Parametros!$E$6*(Parametros!$E$7/G221+I221)/(Parametros!$E$6+Parametros!$E$7/G221+I221))</f>
        <v/>
      </c>
      <c r="K221" s="2" t="inlineStr">
        <is>
          <t>2026-10-09 12:20</t>
        </is>
      </c>
      <c r="L221" s="6" t="inlineStr">
        <is>
          <t>Válido</t>
        </is>
      </c>
      <c r="M221" s="2">
        <f>IF(L221="Válido","Sim","Não")</f>
        <v/>
      </c>
      <c r="N221" s="2" t="inlineStr"/>
    </row>
    <row r="222">
      <c r="A222" s="2" t="inlineStr">
        <is>
          <t>3Bracos_3000_R1100_80W_2026-10-09_12_20.csv</t>
        </is>
      </c>
      <c r="B222" s="2" t="inlineStr">
        <is>
          <t>80W_3000RPM_R1100</t>
        </is>
      </c>
      <c r="C222" s="2" t="n">
        <v>80</v>
      </c>
      <c r="D222" s="2" t="n">
        <v>3000</v>
      </c>
      <c r="E222" s="3">
        <f>D222*2/60</f>
        <v/>
      </c>
      <c r="F222" s="2" t="inlineStr">
        <is>
          <t>1100</t>
        </is>
      </c>
      <c r="G222" s="2" t="n">
        <v>3</v>
      </c>
      <c r="H222" s="2">
        <f>INDEX(Parametros!$B$2:$B$9,MATCH(G222,Parametros!$A$2:$A$9,0))</f>
        <v/>
      </c>
      <c r="I222" s="4">
        <f>1/(VALUE(MID(F222,1,1))/Parametros!$E$2+VALUE(MID(F222,2,1))/Parametros!$E$3+VALUE(MID(F222,3,1))/Parametros!$E$4+VALUE(MID(F222,4,1))/Parametros!$E$5)</f>
        <v/>
      </c>
      <c r="J222" s="5">
        <f>IF(G222=0,Parametros!$E$8,Parametros!$E$6+Parametros!$E$6*(Parametros!$E$7/G222+I222)/(Parametros!$E$6+Parametros!$E$7/G222+I222))</f>
        <v/>
      </c>
      <c r="K222" s="2" t="inlineStr">
        <is>
          <t>2026-10-09 12:20</t>
        </is>
      </c>
      <c r="L222" s="6" t="inlineStr">
        <is>
          <t>Válido</t>
        </is>
      </c>
      <c r="M222" s="2">
        <f>IF(L222="Válido","Sim","Não")</f>
        <v/>
      </c>
      <c r="N222" s="2" t="inlineStr"/>
    </row>
    <row r="223">
      <c r="A223" s="2" t="inlineStr">
        <is>
          <t>2Bracos_3000_R1100_80W_2026-10-09_12_20.csv</t>
        </is>
      </c>
      <c r="B223" s="2" t="inlineStr">
        <is>
          <t>80W_3000RPM_R1100</t>
        </is>
      </c>
      <c r="C223" s="2" t="n">
        <v>80</v>
      </c>
      <c r="D223" s="2" t="n">
        <v>3000</v>
      </c>
      <c r="E223" s="3">
        <f>D223*2/60</f>
        <v/>
      </c>
      <c r="F223" s="2" t="inlineStr">
        <is>
          <t>1100</t>
        </is>
      </c>
      <c r="G223" s="2" t="n">
        <v>2</v>
      </c>
      <c r="H223" s="2">
        <f>INDEX(Parametros!$B$2:$B$9,MATCH(G223,Parametros!$A$2:$A$9,0))</f>
        <v/>
      </c>
      <c r="I223" s="4">
        <f>1/(VALUE(MID(F223,1,1))/Parametros!$E$2+VALUE(MID(F223,2,1))/Parametros!$E$3+VALUE(MID(F223,3,1))/Parametros!$E$4+VALUE(MID(F223,4,1))/Parametros!$E$5)</f>
        <v/>
      </c>
      <c r="J223" s="5">
        <f>IF(G223=0,Parametros!$E$8,Parametros!$E$6+Parametros!$E$6*(Parametros!$E$7/G223+I223)/(Parametros!$E$6+Parametros!$E$7/G223+I223))</f>
        <v/>
      </c>
      <c r="K223" s="2" t="inlineStr">
        <is>
          <t>2026-10-09 12:20</t>
        </is>
      </c>
      <c r="L223" s="6" t="inlineStr">
        <is>
          <t>Válido</t>
        </is>
      </c>
      <c r="M223" s="2">
        <f>IF(L223="Válido","Sim","Não")</f>
        <v/>
      </c>
      <c r="N223" s="2" t="inlineStr"/>
    </row>
    <row r="224">
      <c r="A224" s="2" t="inlineStr">
        <is>
          <t>1Bracos_3000_R1100_80W_2026-10-09_12_20.csv</t>
        </is>
      </c>
      <c r="B224" s="2" t="inlineStr">
        <is>
          <t>80W_3000RPM_R1100</t>
        </is>
      </c>
      <c r="C224" s="2" t="n">
        <v>80</v>
      </c>
      <c r="D224" s="2" t="n">
        <v>3000</v>
      </c>
      <c r="E224" s="3">
        <f>D224*2/60</f>
        <v/>
      </c>
      <c r="F224" s="2" t="inlineStr">
        <is>
          <t>1100</t>
        </is>
      </c>
      <c r="G224" s="2" t="n">
        <v>1</v>
      </c>
      <c r="H224" s="2">
        <f>INDEX(Parametros!$B$2:$B$9,MATCH(G224,Parametros!$A$2:$A$9,0))</f>
        <v/>
      </c>
      <c r="I224" s="4">
        <f>1/(VALUE(MID(F224,1,1))/Parametros!$E$2+VALUE(MID(F224,2,1))/Parametros!$E$3+VALUE(MID(F224,3,1))/Parametros!$E$4+VALUE(MID(F224,4,1))/Parametros!$E$5)</f>
        <v/>
      </c>
      <c r="J224" s="5">
        <f>IF(G224=0,Parametros!$E$8,Parametros!$E$6+Parametros!$E$6*(Parametros!$E$7/G224+I224)/(Parametros!$E$6+Parametros!$E$7/G224+I224))</f>
        <v/>
      </c>
      <c r="K224" s="2" t="inlineStr">
        <is>
          <t>2026-10-09 12:20</t>
        </is>
      </c>
      <c r="L224" s="6" t="inlineStr">
        <is>
          <t>Válido</t>
        </is>
      </c>
      <c r="M224" s="2">
        <f>IF(L224="Válido","Sim","Não")</f>
        <v/>
      </c>
      <c r="N224" s="2" t="inlineStr"/>
    </row>
    <row r="225">
      <c r="A225" s="2" t="inlineStr">
        <is>
          <t>0Bracos_3000_R1100_80W_2026-10-09_12_20.csv</t>
        </is>
      </c>
      <c r="B225" s="2" t="inlineStr">
        <is>
          <t>80W_3000RPM_R1100</t>
        </is>
      </c>
      <c r="C225" s="2" t="n">
        <v>80</v>
      </c>
      <c r="D225" s="2" t="n">
        <v>3000</v>
      </c>
      <c r="E225" s="3">
        <f>D225*2/60</f>
        <v/>
      </c>
      <c r="F225" s="2" t="inlineStr">
        <is>
          <t>1100</t>
        </is>
      </c>
      <c r="G225" s="2" t="n">
        <v>0</v>
      </c>
      <c r="H225" s="2">
        <f>INDEX(Parametros!$B$2:$B$9,MATCH(G225,Parametros!$A$2:$A$9,0))</f>
        <v/>
      </c>
      <c r="I225" s="4">
        <f>1/(VALUE(MID(F225,1,1))/Parametros!$E$2+VALUE(MID(F225,2,1))/Parametros!$E$3+VALUE(MID(F225,3,1))/Parametros!$E$4+VALUE(MID(F225,4,1))/Parametros!$E$5)</f>
        <v/>
      </c>
      <c r="J225" s="5">
        <f>IF(G225=0,Parametros!$E$8,Parametros!$E$6+Parametros!$E$6*(Parametros!$E$7/G225+I225)/(Parametros!$E$6+Parametros!$E$7/G225+I225))</f>
        <v/>
      </c>
      <c r="K225" s="2" t="inlineStr">
        <is>
          <t>2026-10-09 12:20</t>
        </is>
      </c>
      <c r="L225" s="6" t="inlineStr">
        <is>
          <t>Válido</t>
        </is>
      </c>
      <c r="M225" s="2">
        <f>IF(L225="Válido","Sim","Não")</f>
        <v/>
      </c>
      <c r="N225" s="2" t="inlineStr"/>
    </row>
    <row r="226">
      <c r="A226" s="2" t="inlineStr">
        <is>
          <t>7Bracos_3000_R1100_80W_2026-09-28_10_00.csv</t>
        </is>
      </c>
      <c r="B226" s="2" t="inlineStr">
        <is>
          <t>80W_3000RPM_R1100</t>
        </is>
      </c>
      <c r="C226" s="2" t="n">
        <v>80</v>
      </c>
      <c r="D226" s="2" t="n">
        <v>3000</v>
      </c>
      <c r="E226" s="3">
        <f>D226*2/60</f>
        <v/>
      </c>
      <c r="F226" s="2" t="inlineStr">
        <is>
          <t>1100</t>
        </is>
      </c>
      <c r="G226" s="2" t="n">
        <v>7</v>
      </c>
      <c r="H226" s="2">
        <f>INDEX(Parametros!$B$2:$B$9,MATCH(G226,Parametros!$A$2:$A$9,0))</f>
        <v/>
      </c>
      <c r="I226" s="4">
        <f>1/(VALUE(MID(F226,1,1))/Parametros!$E$2+VALUE(MID(F226,2,1))/Parametros!$E$3+VALUE(MID(F226,3,1))/Parametros!$E$4+VALUE(MID(F226,4,1))/Parametros!$E$5)</f>
        <v/>
      </c>
      <c r="J226" s="5">
        <f>IF(G226=0,Parametros!$E$8,Parametros!$E$6+Parametros!$E$6*(Parametros!$E$7/G226+I226)/(Parametros!$E$6+Parametros!$E$7/G226+I226))</f>
        <v/>
      </c>
      <c r="K226" s="2" t="inlineStr">
        <is>
          <t>2026-09-28 10:00</t>
        </is>
      </c>
      <c r="L226" s="8" t="inlineStr">
        <is>
          <t>Substituído (refeito)</t>
        </is>
      </c>
      <c r="M226" s="2">
        <f>IF(L226="Válido","Sim","Não")</f>
        <v/>
      </c>
      <c r="N226" s="2" t="inlineStr">
        <is>
          <t>Existe ensaio mais novo para a mesma condição</t>
        </is>
      </c>
    </row>
    <row r="227">
      <c r="A227" s="2" t="inlineStr">
        <is>
          <t>6Bracos_3000_R1100_80W_2026-09-28_10_00.csv</t>
        </is>
      </c>
      <c r="B227" s="2" t="inlineStr">
        <is>
          <t>80W_3000RPM_R1100</t>
        </is>
      </c>
      <c r="C227" s="2" t="n">
        <v>80</v>
      </c>
      <c r="D227" s="2" t="n">
        <v>3000</v>
      </c>
      <c r="E227" s="3">
        <f>D227*2/60</f>
        <v/>
      </c>
      <c r="F227" s="2" t="inlineStr">
        <is>
          <t>1100</t>
        </is>
      </c>
      <c r="G227" s="2" t="n">
        <v>6</v>
      </c>
      <c r="H227" s="2">
        <f>INDEX(Parametros!$B$2:$B$9,MATCH(G227,Parametros!$A$2:$A$9,0))</f>
        <v/>
      </c>
      <c r="I227" s="4">
        <f>1/(VALUE(MID(F227,1,1))/Parametros!$E$2+VALUE(MID(F227,2,1))/Parametros!$E$3+VALUE(MID(F227,3,1))/Parametros!$E$4+VALUE(MID(F227,4,1))/Parametros!$E$5)</f>
        <v/>
      </c>
      <c r="J227" s="5">
        <f>IF(G227=0,Parametros!$E$8,Parametros!$E$6+Parametros!$E$6*(Parametros!$E$7/G227+I227)/(Parametros!$E$6+Parametros!$E$7/G227+I227))</f>
        <v/>
      </c>
      <c r="K227" s="2" t="inlineStr">
        <is>
          <t>2026-09-28 10:00</t>
        </is>
      </c>
      <c r="L227" s="8" t="inlineStr">
        <is>
          <t>Substituído (refeito)</t>
        </is>
      </c>
      <c r="M227" s="2">
        <f>IF(L227="Válido","Sim","Não")</f>
        <v/>
      </c>
      <c r="N227" s="2" t="inlineStr">
        <is>
          <t>Existe ensaio mais novo para a mesma condição</t>
        </is>
      </c>
    </row>
    <row r="228">
      <c r="A228" s="2" t="inlineStr">
        <is>
          <t>5Bracos_3000_R1100_80W_2026-09-28_10_00.csv</t>
        </is>
      </c>
      <c r="B228" s="2" t="inlineStr">
        <is>
          <t>80W_3000RPM_R1100</t>
        </is>
      </c>
      <c r="C228" s="2" t="n">
        <v>80</v>
      </c>
      <c r="D228" s="2" t="n">
        <v>3000</v>
      </c>
      <c r="E228" s="3">
        <f>D228*2/60</f>
        <v/>
      </c>
      <c r="F228" s="2" t="inlineStr">
        <is>
          <t>1100</t>
        </is>
      </c>
      <c r="G228" s="2" t="n">
        <v>5</v>
      </c>
      <c r="H228" s="2">
        <f>INDEX(Parametros!$B$2:$B$9,MATCH(G228,Parametros!$A$2:$A$9,0))</f>
        <v/>
      </c>
      <c r="I228" s="4">
        <f>1/(VALUE(MID(F228,1,1))/Parametros!$E$2+VALUE(MID(F228,2,1))/Parametros!$E$3+VALUE(MID(F228,3,1))/Parametros!$E$4+VALUE(MID(F228,4,1))/Parametros!$E$5)</f>
        <v/>
      </c>
      <c r="J228" s="5">
        <f>IF(G228=0,Parametros!$E$8,Parametros!$E$6+Parametros!$E$6*(Parametros!$E$7/G228+I228)/(Parametros!$E$6+Parametros!$E$7/G228+I228))</f>
        <v/>
      </c>
      <c r="K228" s="2" t="inlineStr">
        <is>
          <t>2026-09-28 10:00</t>
        </is>
      </c>
      <c r="L228" s="8" t="inlineStr">
        <is>
          <t>Substituído (refeito)</t>
        </is>
      </c>
      <c r="M228" s="2">
        <f>IF(L228="Válido","Sim","Não")</f>
        <v/>
      </c>
      <c r="N228" s="2" t="inlineStr">
        <is>
          <t>Existe ensaio mais novo para a mesma condição</t>
        </is>
      </c>
    </row>
    <row r="229">
      <c r="A229" s="2" t="inlineStr">
        <is>
          <t>4Bracos_3000_R1100_80W_2026-09-28_10_00.csv</t>
        </is>
      </c>
      <c r="B229" s="2" t="inlineStr">
        <is>
          <t>80W_3000RPM_R1100</t>
        </is>
      </c>
      <c r="C229" s="2" t="n">
        <v>80</v>
      </c>
      <c r="D229" s="2" t="n">
        <v>3000</v>
      </c>
      <c r="E229" s="3">
        <f>D229*2/60</f>
        <v/>
      </c>
      <c r="F229" s="2" t="inlineStr">
        <is>
          <t>1100</t>
        </is>
      </c>
      <c r="G229" s="2" t="n">
        <v>4</v>
      </c>
      <c r="H229" s="2">
        <f>INDEX(Parametros!$B$2:$B$9,MATCH(G229,Parametros!$A$2:$A$9,0))</f>
        <v/>
      </c>
      <c r="I229" s="4">
        <f>1/(VALUE(MID(F229,1,1))/Parametros!$E$2+VALUE(MID(F229,2,1))/Parametros!$E$3+VALUE(MID(F229,3,1))/Parametros!$E$4+VALUE(MID(F229,4,1))/Parametros!$E$5)</f>
        <v/>
      </c>
      <c r="J229" s="5">
        <f>IF(G229=0,Parametros!$E$8,Parametros!$E$6+Parametros!$E$6*(Parametros!$E$7/G229+I229)/(Parametros!$E$6+Parametros!$E$7/G229+I229))</f>
        <v/>
      </c>
      <c r="K229" s="2" t="inlineStr">
        <is>
          <t>2026-09-28 10:00</t>
        </is>
      </c>
      <c r="L229" s="8" t="inlineStr">
        <is>
          <t>Substituído (refeito)</t>
        </is>
      </c>
      <c r="M229" s="2">
        <f>IF(L229="Válido","Sim","Não")</f>
        <v/>
      </c>
      <c r="N229" s="2" t="inlineStr">
        <is>
          <t>Existe ensaio mais novo para a mesma condição</t>
        </is>
      </c>
    </row>
    <row r="230">
      <c r="A230" s="2" t="inlineStr">
        <is>
          <t>3Bracos_3000_R1100_80W_2026-09-28_10_00.csv</t>
        </is>
      </c>
      <c r="B230" s="2" t="inlineStr">
        <is>
          <t>80W_3000RPM_R1100</t>
        </is>
      </c>
      <c r="C230" s="2" t="n">
        <v>80</v>
      </c>
      <c r="D230" s="2" t="n">
        <v>3000</v>
      </c>
      <c r="E230" s="3">
        <f>D230*2/60</f>
        <v/>
      </c>
      <c r="F230" s="2" t="inlineStr">
        <is>
          <t>1100</t>
        </is>
      </c>
      <c r="G230" s="2" t="n">
        <v>3</v>
      </c>
      <c r="H230" s="2">
        <f>INDEX(Parametros!$B$2:$B$9,MATCH(G230,Parametros!$A$2:$A$9,0))</f>
        <v/>
      </c>
      <c r="I230" s="4">
        <f>1/(VALUE(MID(F230,1,1))/Parametros!$E$2+VALUE(MID(F230,2,1))/Parametros!$E$3+VALUE(MID(F230,3,1))/Parametros!$E$4+VALUE(MID(F230,4,1))/Parametros!$E$5)</f>
        <v/>
      </c>
      <c r="J230" s="5">
        <f>IF(G230=0,Parametros!$E$8,Parametros!$E$6+Parametros!$E$6*(Parametros!$E$7/G230+I230)/(Parametros!$E$6+Parametros!$E$7/G230+I230))</f>
        <v/>
      </c>
      <c r="K230" s="2" t="inlineStr">
        <is>
          <t>2026-09-28 10:00</t>
        </is>
      </c>
      <c r="L230" s="8" t="inlineStr">
        <is>
          <t>Substituído (refeito)</t>
        </is>
      </c>
      <c r="M230" s="2">
        <f>IF(L230="Válido","Sim","Não")</f>
        <v/>
      </c>
      <c r="N230" s="2" t="inlineStr">
        <is>
          <t>Existe ensaio mais novo para a mesma condição</t>
        </is>
      </c>
    </row>
    <row r="231">
      <c r="A231" s="2" t="inlineStr">
        <is>
          <t>2Bracos_3000_R1100_80W_2026-09-28_10_00.csv</t>
        </is>
      </c>
      <c r="B231" s="2" t="inlineStr">
        <is>
          <t>80W_3000RPM_R1100</t>
        </is>
      </c>
      <c r="C231" s="2" t="n">
        <v>80</v>
      </c>
      <c r="D231" s="2" t="n">
        <v>3000</v>
      </c>
      <c r="E231" s="3">
        <f>D231*2/60</f>
        <v/>
      </c>
      <c r="F231" s="2" t="inlineStr">
        <is>
          <t>1100</t>
        </is>
      </c>
      <c r="G231" s="2" t="n">
        <v>2</v>
      </c>
      <c r="H231" s="2">
        <f>INDEX(Parametros!$B$2:$B$9,MATCH(G231,Parametros!$A$2:$A$9,0))</f>
        <v/>
      </c>
      <c r="I231" s="4">
        <f>1/(VALUE(MID(F231,1,1))/Parametros!$E$2+VALUE(MID(F231,2,1))/Parametros!$E$3+VALUE(MID(F231,3,1))/Parametros!$E$4+VALUE(MID(F231,4,1))/Parametros!$E$5)</f>
        <v/>
      </c>
      <c r="J231" s="5">
        <f>IF(G231=0,Parametros!$E$8,Parametros!$E$6+Parametros!$E$6*(Parametros!$E$7/G231+I231)/(Parametros!$E$6+Parametros!$E$7/G231+I231))</f>
        <v/>
      </c>
      <c r="K231" s="2" t="inlineStr">
        <is>
          <t>2026-09-28 10:00</t>
        </is>
      </c>
      <c r="L231" s="8" t="inlineStr">
        <is>
          <t>Substituído (refeito)</t>
        </is>
      </c>
      <c r="M231" s="2">
        <f>IF(L231="Válido","Sim","Não")</f>
        <v/>
      </c>
      <c r="N231" s="2" t="inlineStr">
        <is>
          <t>Existe ensaio mais novo para a mesma condição</t>
        </is>
      </c>
    </row>
    <row r="232">
      <c r="A232" s="2" t="inlineStr">
        <is>
          <t>1Bracos_3000_R1100_80W_2026-09-28_10_00.csv</t>
        </is>
      </c>
      <c r="B232" s="2" t="inlineStr">
        <is>
          <t>80W_3000RPM_R1100</t>
        </is>
      </c>
      <c r="C232" s="2" t="n">
        <v>80</v>
      </c>
      <c r="D232" s="2" t="n">
        <v>3000</v>
      </c>
      <c r="E232" s="3">
        <f>D232*2/60</f>
        <v/>
      </c>
      <c r="F232" s="2" t="inlineStr">
        <is>
          <t>1100</t>
        </is>
      </c>
      <c r="G232" s="2" t="n">
        <v>1</v>
      </c>
      <c r="H232" s="2">
        <f>INDEX(Parametros!$B$2:$B$9,MATCH(G232,Parametros!$A$2:$A$9,0))</f>
        <v/>
      </c>
      <c r="I232" s="4">
        <f>1/(VALUE(MID(F232,1,1))/Parametros!$E$2+VALUE(MID(F232,2,1))/Parametros!$E$3+VALUE(MID(F232,3,1))/Parametros!$E$4+VALUE(MID(F232,4,1))/Parametros!$E$5)</f>
        <v/>
      </c>
      <c r="J232" s="5">
        <f>IF(G232=0,Parametros!$E$8,Parametros!$E$6+Parametros!$E$6*(Parametros!$E$7/G232+I232)/(Parametros!$E$6+Parametros!$E$7/G232+I232))</f>
        <v/>
      </c>
      <c r="K232" s="2" t="inlineStr">
        <is>
          <t>2026-09-28 10:00</t>
        </is>
      </c>
      <c r="L232" s="8" t="inlineStr">
        <is>
          <t>Substituído (refeito)</t>
        </is>
      </c>
      <c r="M232" s="2">
        <f>IF(L232="Válido","Sim","Não")</f>
        <v/>
      </c>
      <c r="N232" s="2" t="inlineStr">
        <is>
          <t>Existe ensaio mais novo para a mesma condição</t>
        </is>
      </c>
    </row>
    <row r="233">
      <c r="A233" s="2" t="inlineStr">
        <is>
          <t>0Bracos_3000_R1100_80W_2026-09-28_10_00.csv</t>
        </is>
      </c>
      <c r="B233" s="2" t="inlineStr">
        <is>
          <t>80W_3000RPM_R1100</t>
        </is>
      </c>
      <c r="C233" s="2" t="n">
        <v>80</v>
      </c>
      <c r="D233" s="2" t="n">
        <v>3000</v>
      </c>
      <c r="E233" s="3">
        <f>D233*2/60</f>
        <v/>
      </c>
      <c r="F233" s="2" t="inlineStr">
        <is>
          <t>1100</t>
        </is>
      </c>
      <c r="G233" s="2" t="n">
        <v>0</v>
      </c>
      <c r="H233" s="2">
        <f>INDEX(Parametros!$B$2:$B$9,MATCH(G233,Parametros!$A$2:$A$9,0))</f>
        <v/>
      </c>
      <c r="I233" s="4">
        <f>1/(VALUE(MID(F233,1,1))/Parametros!$E$2+VALUE(MID(F233,2,1))/Parametros!$E$3+VALUE(MID(F233,3,1))/Parametros!$E$4+VALUE(MID(F233,4,1))/Parametros!$E$5)</f>
        <v/>
      </c>
      <c r="J233" s="5">
        <f>IF(G233=0,Parametros!$E$8,Parametros!$E$6+Parametros!$E$6*(Parametros!$E$7/G233+I233)/(Parametros!$E$6+Parametros!$E$7/G233+I233))</f>
        <v/>
      </c>
      <c r="K233" s="2" t="inlineStr">
        <is>
          <t>2026-09-28 10:00</t>
        </is>
      </c>
      <c r="L233" s="8" t="inlineStr">
        <is>
          <t>Substituído (refeito)</t>
        </is>
      </c>
      <c r="M233" s="2">
        <f>IF(L233="Válido","Sim","Não")</f>
        <v/>
      </c>
      <c r="N233" s="2" t="inlineStr">
        <is>
          <t>Existe ensaio mais novo para a mesma condição</t>
        </is>
      </c>
    </row>
    <row r="234">
      <c r="A234" s="2" t="inlineStr">
        <is>
          <t>7Bracos_3000_R1101_80W_2026-09-28_10_00.csv</t>
        </is>
      </c>
      <c r="B234" s="2" t="inlineStr">
        <is>
          <t>80W_3000RPM_R1101</t>
        </is>
      </c>
      <c r="C234" s="2" t="n">
        <v>80</v>
      </c>
      <c r="D234" s="2" t="n">
        <v>3000</v>
      </c>
      <c r="E234" s="3">
        <f>D234*2/60</f>
        <v/>
      </c>
      <c r="F234" s="2" t="inlineStr">
        <is>
          <t>1101</t>
        </is>
      </c>
      <c r="G234" s="2" t="n">
        <v>7</v>
      </c>
      <c r="H234" s="2">
        <f>INDEX(Parametros!$B$2:$B$9,MATCH(G234,Parametros!$A$2:$A$9,0))</f>
        <v/>
      </c>
      <c r="I234" s="4">
        <f>1/(VALUE(MID(F234,1,1))/Parametros!$E$2+VALUE(MID(F234,2,1))/Parametros!$E$3+VALUE(MID(F234,3,1))/Parametros!$E$4+VALUE(MID(F234,4,1))/Parametros!$E$5)</f>
        <v/>
      </c>
      <c r="J234" s="5">
        <f>IF(G234=0,Parametros!$E$8,Parametros!$E$6+Parametros!$E$6*(Parametros!$E$7/G234+I234)/(Parametros!$E$6+Parametros!$E$7/G234+I234))</f>
        <v/>
      </c>
      <c r="K234" s="2" t="inlineStr">
        <is>
          <t>2026-09-28 10:00</t>
        </is>
      </c>
      <c r="L234" s="7" t="inlineStr">
        <is>
          <t>Patamar baixo de ripple (suspeita DAQ)</t>
        </is>
      </c>
      <c r="M234" s="2">
        <f>IF(L234="Válido","Sim","Não")</f>
        <v/>
      </c>
      <c r="N234" s="2" t="inlineStr">
        <is>
          <t>Ripple x C mediano da config = 533 (esperado ~730 a 80W)</t>
        </is>
      </c>
    </row>
    <row r="235">
      <c r="A235" s="2" t="inlineStr">
        <is>
          <t>6Bracos_3000_R1101_80W_2026-09-28_10_00.csv</t>
        </is>
      </c>
      <c r="B235" s="2" t="inlineStr">
        <is>
          <t>80W_3000RPM_R1101</t>
        </is>
      </c>
      <c r="C235" s="2" t="n">
        <v>80</v>
      </c>
      <c r="D235" s="2" t="n">
        <v>3000</v>
      </c>
      <c r="E235" s="3">
        <f>D235*2/60</f>
        <v/>
      </c>
      <c r="F235" s="2" t="inlineStr">
        <is>
          <t>1101</t>
        </is>
      </c>
      <c r="G235" s="2" t="n">
        <v>6</v>
      </c>
      <c r="H235" s="2">
        <f>INDEX(Parametros!$B$2:$B$9,MATCH(G235,Parametros!$A$2:$A$9,0))</f>
        <v/>
      </c>
      <c r="I235" s="4">
        <f>1/(VALUE(MID(F235,1,1))/Parametros!$E$2+VALUE(MID(F235,2,1))/Parametros!$E$3+VALUE(MID(F235,3,1))/Parametros!$E$4+VALUE(MID(F235,4,1))/Parametros!$E$5)</f>
        <v/>
      </c>
      <c r="J235" s="5">
        <f>IF(G235=0,Parametros!$E$8,Parametros!$E$6+Parametros!$E$6*(Parametros!$E$7/G235+I235)/(Parametros!$E$6+Parametros!$E$7/G235+I235))</f>
        <v/>
      </c>
      <c r="K235" s="2" t="inlineStr">
        <is>
          <t>2026-09-28 10:00</t>
        </is>
      </c>
      <c r="L235" s="7" t="inlineStr">
        <is>
          <t>Patamar baixo de ripple (suspeita DAQ)</t>
        </is>
      </c>
      <c r="M235" s="2">
        <f>IF(L235="Válido","Sim","Não")</f>
        <v/>
      </c>
      <c r="N235" s="2" t="inlineStr">
        <is>
          <t>Ripple x C mediano da config = 533 (esperado ~730 a 80W)</t>
        </is>
      </c>
    </row>
    <row r="236">
      <c r="A236" s="2" t="inlineStr">
        <is>
          <t>5Bracos_3000_R1101_80W_2026-09-28_10_00.csv</t>
        </is>
      </c>
      <c r="B236" s="2" t="inlineStr">
        <is>
          <t>80W_3000RPM_R1101</t>
        </is>
      </c>
      <c r="C236" s="2" t="n">
        <v>80</v>
      </c>
      <c r="D236" s="2" t="n">
        <v>3000</v>
      </c>
      <c r="E236" s="3">
        <f>D236*2/60</f>
        <v/>
      </c>
      <c r="F236" s="2" t="inlineStr">
        <is>
          <t>1101</t>
        </is>
      </c>
      <c r="G236" s="2" t="n">
        <v>5</v>
      </c>
      <c r="H236" s="2">
        <f>INDEX(Parametros!$B$2:$B$9,MATCH(G236,Parametros!$A$2:$A$9,0))</f>
        <v/>
      </c>
      <c r="I236" s="4">
        <f>1/(VALUE(MID(F236,1,1))/Parametros!$E$2+VALUE(MID(F236,2,1))/Parametros!$E$3+VALUE(MID(F236,3,1))/Parametros!$E$4+VALUE(MID(F236,4,1))/Parametros!$E$5)</f>
        <v/>
      </c>
      <c r="J236" s="5">
        <f>IF(G236=0,Parametros!$E$8,Parametros!$E$6+Parametros!$E$6*(Parametros!$E$7/G236+I236)/(Parametros!$E$6+Parametros!$E$7/G236+I236))</f>
        <v/>
      </c>
      <c r="K236" s="2" t="inlineStr">
        <is>
          <t>2026-09-28 10:00</t>
        </is>
      </c>
      <c r="L236" s="7" t="inlineStr">
        <is>
          <t>Patamar baixo de ripple (suspeita DAQ)</t>
        </is>
      </c>
      <c r="M236" s="2">
        <f>IF(L236="Válido","Sim","Não")</f>
        <v/>
      </c>
      <c r="N236" s="2" t="inlineStr">
        <is>
          <t>Ripple x C mediano da config = 533 (esperado ~730 a 80W)</t>
        </is>
      </c>
    </row>
    <row r="237">
      <c r="A237" s="2" t="inlineStr">
        <is>
          <t>4Bracos_3000_R1101_80W_2026-09-28_10_00.csv</t>
        </is>
      </c>
      <c r="B237" s="2" t="inlineStr">
        <is>
          <t>80W_3000RPM_R1101</t>
        </is>
      </c>
      <c r="C237" s="2" t="n">
        <v>80</v>
      </c>
      <c r="D237" s="2" t="n">
        <v>3000</v>
      </c>
      <c r="E237" s="3">
        <f>D237*2/60</f>
        <v/>
      </c>
      <c r="F237" s="2" t="inlineStr">
        <is>
          <t>1101</t>
        </is>
      </c>
      <c r="G237" s="2" t="n">
        <v>4</v>
      </c>
      <c r="H237" s="2">
        <f>INDEX(Parametros!$B$2:$B$9,MATCH(G237,Parametros!$A$2:$A$9,0))</f>
        <v/>
      </c>
      <c r="I237" s="4">
        <f>1/(VALUE(MID(F237,1,1))/Parametros!$E$2+VALUE(MID(F237,2,1))/Parametros!$E$3+VALUE(MID(F237,3,1))/Parametros!$E$4+VALUE(MID(F237,4,1))/Parametros!$E$5)</f>
        <v/>
      </c>
      <c r="J237" s="5">
        <f>IF(G237=0,Parametros!$E$8,Parametros!$E$6+Parametros!$E$6*(Parametros!$E$7/G237+I237)/(Parametros!$E$6+Parametros!$E$7/G237+I237))</f>
        <v/>
      </c>
      <c r="K237" s="2" t="inlineStr">
        <is>
          <t>2026-09-28 10:00</t>
        </is>
      </c>
      <c r="L237" s="7" t="inlineStr">
        <is>
          <t>Patamar baixo de ripple (suspeita DAQ)</t>
        </is>
      </c>
      <c r="M237" s="2">
        <f>IF(L237="Válido","Sim","Não")</f>
        <v/>
      </c>
      <c r="N237" s="2" t="inlineStr">
        <is>
          <t>Ripple x C mediano da config = 533 (esperado ~730 a 80W)</t>
        </is>
      </c>
    </row>
    <row r="238">
      <c r="A238" s="2" t="inlineStr">
        <is>
          <t>3Bracos_3000_R1101_80W_2026-09-28_10_00.csv</t>
        </is>
      </c>
      <c r="B238" s="2" t="inlineStr">
        <is>
          <t>80W_3000RPM_R1101</t>
        </is>
      </c>
      <c r="C238" s="2" t="n">
        <v>80</v>
      </c>
      <c r="D238" s="2" t="n">
        <v>3000</v>
      </c>
      <c r="E238" s="3">
        <f>D238*2/60</f>
        <v/>
      </c>
      <c r="F238" s="2" t="inlineStr">
        <is>
          <t>1101</t>
        </is>
      </c>
      <c r="G238" s="2" t="n">
        <v>3</v>
      </c>
      <c r="H238" s="2">
        <f>INDEX(Parametros!$B$2:$B$9,MATCH(G238,Parametros!$A$2:$A$9,0))</f>
        <v/>
      </c>
      <c r="I238" s="4">
        <f>1/(VALUE(MID(F238,1,1))/Parametros!$E$2+VALUE(MID(F238,2,1))/Parametros!$E$3+VALUE(MID(F238,3,1))/Parametros!$E$4+VALUE(MID(F238,4,1))/Parametros!$E$5)</f>
        <v/>
      </c>
      <c r="J238" s="5">
        <f>IF(G238=0,Parametros!$E$8,Parametros!$E$6+Parametros!$E$6*(Parametros!$E$7/G238+I238)/(Parametros!$E$6+Parametros!$E$7/G238+I238))</f>
        <v/>
      </c>
      <c r="K238" s="2" t="inlineStr">
        <is>
          <t>2026-09-28 10:00</t>
        </is>
      </c>
      <c r="L238" s="7" t="inlineStr">
        <is>
          <t>Patamar baixo de ripple (suspeita DAQ)</t>
        </is>
      </c>
      <c r="M238" s="2">
        <f>IF(L238="Válido","Sim","Não")</f>
        <v/>
      </c>
      <c r="N238" s="2" t="inlineStr">
        <is>
          <t>Ripple x C mediano da config = 533 (esperado ~730 a 80W)</t>
        </is>
      </c>
    </row>
    <row r="239">
      <c r="A239" s="2" t="inlineStr">
        <is>
          <t>2Bracos_3000_R1101_80W_2026-09-28_10_00.csv</t>
        </is>
      </c>
      <c r="B239" s="2" t="inlineStr">
        <is>
          <t>80W_3000RPM_R1101</t>
        </is>
      </c>
      <c r="C239" s="2" t="n">
        <v>80</v>
      </c>
      <c r="D239" s="2" t="n">
        <v>3000</v>
      </c>
      <c r="E239" s="3">
        <f>D239*2/60</f>
        <v/>
      </c>
      <c r="F239" s="2" t="inlineStr">
        <is>
          <t>1101</t>
        </is>
      </c>
      <c r="G239" s="2" t="n">
        <v>2</v>
      </c>
      <c r="H239" s="2">
        <f>INDEX(Parametros!$B$2:$B$9,MATCH(G239,Parametros!$A$2:$A$9,0))</f>
        <v/>
      </c>
      <c r="I239" s="4">
        <f>1/(VALUE(MID(F239,1,1))/Parametros!$E$2+VALUE(MID(F239,2,1))/Parametros!$E$3+VALUE(MID(F239,3,1))/Parametros!$E$4+VALUE(MID(F239,4,1))/Parametros!$E$5)</f>
        <v/>
      </c>
      <c r="J239" s="5">
        <f>IF(G239=0,Parametros!$E$8,Parametros!$E$6+Parametros!$E$6*(Parametros!$E$7/G239+I239)/(Parametros!$E$6+Parametros!$E$7/G239+I239))</f>
        <v/>
      </c>
      <c r="K239" s="2" t="inlineStr">
        <is>
          <t>2026-09-28 10:00</t>
        </is>
      </c>
      <c r="L239" s="7" t="inlineStr">
        <is>
          <t>Patamar baixo de ripple (suspeita DAQ)</t>
        </is>
      </c>
      <c r="M239" s="2">
        <f>IF(L239="Válido","Sim","Não")</f>
        <v/>
      </c>
      <c r="N239" s="2" t="inlineStr">
        <is>
          <t>Ripple x C mediano da config = 533 (esperado ~730 a 80W)</t>
        </is>
      </c>
    </row>
    <row r="240">
      <c r="A240" s="2" t="inlineStr">
        <is>
          <t>1Bracos_3000_R1101_80W_2026-09-28_10_00.csv</t>
        </is>
      </c>
      <c r="B240" s="2" t="inlineStr">
        <is>
          <t>80W_3000RPM_R1101</t>
        </is>
      </c>
      <c r="C240" s="2" t="n">
        <v>80</v>
      </c>
      <c r="D240" s="2" t="n">
        <v>3000</v>
      </c>
      <c r="E240" s="3">
        <f>D240*2/60</f>
        <v/>
      </c>
      <c r="F240" s="2" t="inlineStr">
        <is>
          <t>1101</t>
        </is>
      </c>
      <c r="G240" s="2" t="n">
        <v>1</v>
      </c>
      <c r="H240" s="2">
        <f>INDEX(Parametros!$B$2:$B$9,MATCH(G240,Parametros!$A$2:$A$9,0))</f>
        <v/>
      </c>
      <c r="I240" s="4">
        <f>1/(VALUE(MID(F240,1,1))/Parametros!$E$2+VALUE(MID(F240,2,1))/Parametros!$E$3+VALUE(MID(F240,3,1))/Parametros!$E$4+VALUE(MID(F240,4,1))/Parametros!$E$5)</f>
        <v/>
      </c>
      <c r="J240" s="5">
        <f>IF(G240=0,Parametros!$E$8,Parametros!$E$6+Parametros!$E$6*(Parametros!$E$7/G240+I240)/(Parametros!$E$6+Parametros!$E$7/G240+I240))</f>
        <v/>
      </c>
      <c r="K240" s="2" t="inlineStr">
        <is>
          <t>2026-09-28 10:00</t>
        </is>
      </c>
      <c r="L240" s="7" t="inlineStr">
        <is>
          <t>Patamar baixo de ripple (suspeita DAQ)</t>
        </is>
      </c>
      <c r="M240" s="2">
        <f>IF(L240="Válido","Sim","Não")</f>
        <v/>
      </c>
      <c r="N240" s="2" t="inlineStr">
        <is>
          <t>Ripple x C mediano da config = 533 (esperado ~730 a 80W)</t>
        </is>
      </c>
    </row>
    <row r="241">
      <c r="A241" s="2" t="inlineStr">
        <is>
          <t>0Bracos_3000_R1101_80W_2026-09-28_10_00.csv</t>
        </is>
      </c>
      <c r="B241" s="2" t="inlineStr">
        <is>
          <t>80W_3000RPM_R1101</t>
        </is>
      </c>
      <c r="C241" s="2" t="n">
        <v>80</v>
      </c>
      <c r="D241" s="2" t="n">
        <v>3000</v>
      </c>
      <c r="E241" s="3">
        <f>D241*2/60</f>
        <v/>
      </c>
      <c r="F241" s="2" t="inlineStr">
        <is>
          <t>1101</t>
        </is>
      </c>
      <c r="G241" s="2" t="n">
        <v>0</v>
      </c>
      <c r="H241" s="2">
        <f>INDEX(Parametros!$B$2:$B$9,MATCH(G241,Parametros!$A$2:$A$9,0))</f>
        <v/>
      </c>
      <c r="I241" s="4">
        <f>1/(VALUE(MID(F241,1,1))/Parametros!$E$2+VALUE(MID(F241,2,1))/Parametros!$E$3+VALUE(MID(F241,3,1))/Parametros!$E$4+VALUE(MID(F241,4,1))/Parametros!$E$5)</f>
        <v/>
      </c>
      <c r="J241" s="5">
        <f>IF(G241=0,Parametros!$E$8,Parametros!$E$6+Parametros!$E$6*(Parametros!$E$7/G241+I241)/(Parametros!$E$6+Parametros!$E$7/G241+I241))</f>
        <v/>
      </c>
      <c r="K241" s="2" t="inlineStr">
        <is>
          <t>2026-09-28 10:00</t>
        </is>
      </c>
      <c r="L241" s="7" t="inlineStr">
        <is>
          <t>Patamar baixo de ripple (suspeita DAQ)</t>
        </is>
      </c>
      <c r="M241" s="2">
        <f>IF(L241="Válido","Sim","Não")</f>
        <v/>
      </c>
      <c r="N241" s="2" t="inlineStr">
        <is>
          <t>Ripple x C mediano da config = 533 (esperado ~730 a 80W)</t>
        </is>
      </c>
    </row>
    <row r="242">
      <c r="A242" s="2" t="inlineStr">
        <is>
          <t>7Bracos_3000_R1110_80W_2026-09-28_10_00.csv</t>
        </is>
      </c>
      <c r="B242" s="2" t="inlineStr">
        <is>
          <t>80W_3000RPM_R1110</t>
        </is>
      </c>
      <c r="C242" s="2" t="n">
        <v>80</v>
      </c>
      <c r="D242" s="2" t="n">
        <v>3000</v>
      </c>
      <c r="E242" s="3">
        <f>D242*2/60</f>
        <v/>
      </c>
      <c r="F242" s="2" t="inlineStr">
        <is>
          <t>1110</t>
        </is>
      </c>
      <c r="G242" s="2" t="n">
        <v>7</v>
      </c>
      <c r="H242" s="2">
        <f>INDEX(Parametros!$B$2:$B$9,MATCH(G242,Parametros!$A$2:$A$9,0))</f>
        <v/>
      </c>
      <c r="I242" s="4">
        <f>1/(VALUE(MID(F242,1,1))/Parametros!$E$2+VALUE(MID(F242,2,1))/Parametros!$E$3+VALUE(MID(F242,3,1))/Parametros!$E$4+VALUE(MID(F242,4,1))/Parametros!$E$5)</f>
        <v/>
      </c>
      <c r="J242" s="5">
        <f>IF(G242=0,Parametros!$E$8,Parametros!$E$6+Parametros!$E$6*(Parametros!$E$7/G242+I242)/(Parametros!$E$6+Parametros!$E$7/G242+I242))</f>
        <v/>
      </c>
      <c r="K242" s="2" t="inlineStr">
        <is>
          <t>2026-09-28 10:00</t>
        </is>
      </c>
      <c r="L242" s="7" t="inlineStr">
        <is>
          <t>Patamar baixo de ripple (suspeita DAQ)</t>
        </is>
      </c>
      <c r="M242" s="2">
        <f>IF(L242="Válido","Sim","Não")</f>
        <v/>
      </c>
      <c r="N242" s="2" t="inlineStr">
        <is>
          <t>Ripple x C mediano da config = 522 (esperado ~730 a 80W)</t>
        </is>
      </c>
    </row>
    <row r="243">
      <c r="A243" s="2" t="inlineStr">
        <is>
          <t>6Bracos_3000_R1110_80W_2026-09-28_10_00.csv</t>
        </is>
      </c>
      <c r="B243" s="2" t="inlineStr">
        <is>
          <t>80W_3000RPM_R1110</t>
        </is>
      </c>
      <c r="C243" s="2" t="n">
        <v>80</v>
      </c>
      <c r="D243" s="2" t="n">
        <v>3000</v>
      </c>
      <c r="E243" s="3">
        <f>D243*2/60</f>
        <v/>
      </c>
      <c r="F243" s="2" t="inlineStr">
        <is>
          <t>1110</t>
        </is>
      </c>
      <c r="G243" s="2" t="n">
        <v>6</v>
      </c>
      <c r="H243" s="2">
        <f>INDEX(Parametros!$B$2:$B$9,MATCH(G243,Parametros!$A$2:$A$9,0))</f>
        <v/>
      </c>
      <c r="I243" s="4">
        <f>1/(VALUE(MID(F243,1,1))/Parametros!$E$2+VALUE(MID(F243,2,1))/Parametros!$E$3+VALUE(MID(F243,3,1))/Parametros!$E$4+VALUE(MID(F243,4,1))/Parametros!$E$5)</f>
        <v/>
      </c>
      <c r="J243" s="5">
        <f>IF(G243=0,Parametros!$E$8,Parametros!$E$6+Parametros!$E$6*(Parametros!$E$7/G243+I243)/(Parametros!$E$6+Parametros!$E$7/G243+I243))</f>
        <v/>
      </c>
      <c r="K243" s="2" t="inlineStr">
        <is>
          <t>2026-09-28 10:00</t>
        </is>
      </c>
      <c r="L243" s="7" t="inlineStr">
        <is>
          <t>Patamar baixo de ripple (suspeita DAQ)</t>
        </is>
      </c>
      <c r="M243" s="2">
        <f>IF(L243="Válido","Sim","Não")</f>
        <v/>
      </c>
      <c r="N243" s="2" t="inlineStr">
        <is>
          <t>Ripple x C mediano da config = 522 (esperado ~730 a 80W)</t>
        </is>
      </c>
    </row>
    <row r="244">
      <c r="A244" s="2" t="inlineStr">
        <is>
          <t>5Bracos_3000_R1110_80W_2026-09-28_10_00.csv</t>
        </is>
      </c>
      <c r="B244" s="2" t="inlineStr">
        <is>
          <t>80W_3000RPM_R1110</t>
        </is>
      </c>
      <c r="C244" s="2" t="n">
        <v>80</v>
      </c>
      <c r="D244" s="2" t="n">
        <v>3000</v>
      </c>
      <c r="E244" s="3">
        <f>D244*2/60</f>
        <v/>
      </c>
      <c r="F244" s="2" t="inlineStr">
        <is>
          <t>1110</t>
        </is>
      </c>
      <c r="G244" s="2" t="n">
        <v>5</v>
      </c>
      <c r="H244" s="2">
        <f>INDEX(Parametros!$B$2:$B$9,MATCH(G244,Parametros!$A$2:$A$9,0))</f>
        <v/>
      </c>
      <c r="I244" s="4">
        <f>1/(VALUE(MID(F244,1,1))/Parametros!$E$2+VALUE(MID(F244,2,1))/Parametros!$E$3+VALUE(MID(F244,3,1))/Parametros!$E$4+VALUE(MID(F244,4,1))/Parametros!$E$5)</f>
        <v/>
      </c>
      <c r="J244" s="5">
        <f>IF(G244=0,Parametros!$E$8,Parametros!$E$6+Parametros!$E$6*(Parametros!$E$7/G244+I244)/(Parametros!$E$6+Parametros!$E$7/G244+I244))</f>
        <v/>
      </c>
      <c r="K244" s="2" t="inlineStr">
        <is>
          <t>2026-09-28 10:00</t>
        </is>
      </c>
      <c r="L244" s="7" t="inlineStr">
        <is>
          <t>Patamar baixo de ripple (suspeita DAQ)</t>
        </is>
      </c>
      <c r="M244" s="2">
        <f>IF(L244="Válido","Sim","Não")</f>
        <v/>
      </c>
      <c r="N244" s="2" t="inlineStr">
        <is>
          <t>Ripple x C mediano da config = 522 (esperado ~730 a 80W)</t>
        </is>
      </c>
    </row>
    <row r="245">
      <c r="A245" s="2" t="inlineStr">
        <is>
          <t>4Bracos_3000_R1110_80W_2026-09-28_10_00.csv</t>
        </is>
      </c>
      <c r="B245" s="2" t="inlineStr">
        <is>
          <t>80W_3000RPM_R1110</t>
        </is>
      </c>
      <c r="C245" s="2" t="n">
        <v>80</v>
      </c>
      <c r="D245" s="2" t="n">
        <v>3000</v>
      </c>
      <c r="E245" s="3">
        <f>D245*2/60</f>
        <v/>
      </c>
      <c r="F245" s="2" t="inlineStr">
        <is>
          <t>1110</t>
        </is>
      </c>
      <c r="G245" s="2" t="n">
        <v>4</v>
      </c>
      <c r="H245" s="2">
        <f>INDEX(Parametros!$B$2:$B$9,MATCH(G245,Parametros!$A$2:$A$9,0))</f>
        <v/>
      </c>
      <c r="I245" s="4">
        <f>1/(VALUE(MID(F245,1,1))/Parametros!$E$2+VALUE(MID(F245,2,1))/Parametros!$E$3+VALUE(MID(F245,3,1))/Parametros!$E$4+VALUE(MID(F245,4,1))/Parametros!$E$5)</f>
        <v/>
      </c>
      <c r="J245" s="5">
        <f>IF(G245=0,Parametros!$E$8,Parametros!$E$6+Parametros!$E$6*(Parametros!$E$7/G245+I245)/(Parametros!$E$6+Parametros!$E$7/G245+I245))</f>
        <v/>
      </c>
      <c r="K245" s="2" t="inlineStr">
        <is>
          <t>2026-09-28 10:00</t>
        </is>
      </c>
      <c r="L245" s="7" t="inlineStr">
        <is>
          <t>Patamar baixo de ripple (suspeita DAQ)</t>
        </is>
      </c>
      <c r="M245" s="2">
        <f>IF(L245="Válido","Sim","Não")</f>
        <v/>
      </c>
      <c r="N245" s="2" t="inlineStr">
        <is>
          <t>Ripple x C mediano da config = 522 (esperado ~730 a 80W)</t>
        </is>
      </c>
    </row>
    <row r="246">
      <c r="A246" s="2" t="inlineStr">
        <is>
          <t>3Bracos_3000_R1110_80W_2026-09-28_10_00.csv</t>
        </is>
      </c>
      <c r="B246" s="2" t="inlineStr">
        <is>
          <t>80W_3000RPM_R1110</t>
        </is>
      </c>
      <c r="C246" s="2" t="n">
        <v>80</v>
      </c>
      <c r="D246" s="2" t="n">
        <v>3000</v>
      </c>
      <c r="E246" s="3">
        <f>D246*2/60</f>
        <v/>
      </c>
      <c r="F246" s="2" t="inlineStr">
        <is>
          <t>1110</t>
        </is>
      </c>
      <c r="G246" s="2" t="n">
        <v>3</v>
      </c>
      <c r="H246" s="2">
        <f>INDEX(Parametros!$B$2:$B$9,MATCH(G246,Parametros!$A$2:$A$9,0))</f>
        <v/>
      </c>
      <c r="I246" s="4">
        <f>1/(VALUE(MID(F246,1,1))/Parametros!$E$2+VALUE(MID(F246,2,1))/Parametros!$E$3+VALUE(MID(F246,3,1))/Parametros!$E$4+VALUE(MID(F246,4,1))/Parametros!$E$5)</f>
        <v/>
      </c>
      <c r="J246" s="5">
        <f>IF(G246=0,Parametros!$E$8,Parametros!$E$6+Parametros!$E$6*(Parametros!$E$7/G246+I246)/(Parametros!$E$6+Parametros!$E$7/G246+I246))</f>
        <v/>
      </c>
      <c r="K246" s="2" t="inlineStr">
        <is>
          <t>2026-09-28 10:00</t>
        </is>
      </c>
      <c r="L246" s="7" t="inlineStr">
        <is>
          <t>Patamar baixo de ripple (suspeita DAQ)</t>
        </is>
      </c>
      <c r="M246" s="2">
        <f>IF(L246="Válido","Sim","Não")</f>
        <v/>
      </c>
      <c r="N246" s="2" t="inlineStr">
        <is>
          <t>Ripple x C mediano da config = 522 (esperado ~730 a 80W)</t>
        </is>
      </c>
    </row>
    <row r="247">
      <c r="A247" s="2" t="inlineStr">
        <is>
          <t>2Bracos_3000_R1110_80W_2026-09-28_10_00.csv</t>
        </is>
      </c>
      <c r="B247" s="2" t="inlineStr">
        <is>
          <t>80W_3000RPM_R1110</t>
        </is>
      </c>
      <c r="C247" s="2" t="n">
        <v>80</v>
      </c>
      <c r="D247" s="2" t="n">
        <v>3000</v>
      </c>
      <c r="E247" s="3">
        <f>D247*2/60</f>
        <v/>
      </c>
      <c r="F247" s="2" t="inlineStr">
        <is>
          <t>1110</t>
        </is>
      </c>
      <c r="G247" s="2" t="n">
        <v>2</v>
      </c>
      <c r="H247" s="2">
        <f>INDEX(Parametros!$B$2:$B$9,MATCH(G247,Parametros!$A$2:$A$9,0))</f>
        <v/>
      </c>
      <c r="I247" s="4">
        <f>1/(VALUE(MID(F247,1,1))/Parametros!$E$2+VALUE(MID(F247,2,1))/Parametros!$E$3+VALUE(MID(F247,3,1))/Parametros!$E$4+VALUE(MID(F247,4,1))/Parametros!$E$5)</f>
        <v/>
      </c>
      <c r="J247" s="5">
        <f>IF(G247=0,Parametros!$E$8,Parametros!$E$6+Parametros!$E$6*(Parametros!$E$7/G247+I247)/(Parametros!$E$6+Parametros!$E$7/G247+I247))</f>
        <v/>
      </c>
      <c r="K247" s="2" t="inlineStr">
        <is>
          <t>2026-09-28 10:00</t>
        </is>
      </c>
      <c r="L247" s="7" t="inlineStr">
        <is>
          <t>Patamar baixo de ripple (suspeita DAQ)</t>
        </is>
      </c>
      <c r="M247" s="2">
        <f>IF(L247="Válido","Sim","Não")</f>
        <v/>
      </c>
      <c r="N247" s="2" t="inlineStr">
        <is>
          <t>Ripple x C mediano da config = 522 (esperado ~730 a 80W)</t>
        </is>
      </c>
    </row>
    <row r="248">
      <c r="A248" s="2" t="inlineStr">
        <is>
          <t>1Bracos_3000_R1110_80W_2026-09-28_10_00.csv</t>
        </is>
      </c>
      <c r="B248" s="2" t="inlineStr">
        <is>
          <t>80W_3000RPM_R1110</t>
        </is>
      </c>
      <c r="C248" s="2" t="n">
        <v>80</v>
      </c>
      <c r="D248" s="2" t="n">
        <v>3000</v>
      </c>
      <c r="E248" s="3">
        <f>D248*2/60</f>
        <v/>
      </c>
      <c r="F248" s="2" t="inlineStr">
        <is>
          <t>1110</t>
        </is>
      </c>
      <c r="G248" s="2" t="n">
        <v>1</v>
      </c>
      <c r="H248" s="2">
        <f>INDEX(Parametros!$B$2:$B$9,MATCH(G248,Parametros!$A$2:$A$9,0))</f>
        <v/>
      </c>
      <c r="I248" s="4">
        <f>1/(VALUE(MID(F248,1,1))/Parametros!$E$2+VALUE(MID(F248,2,1))/Parametros!$E$3+VALUE(MID(F248,3,1))/Parametros!$E$4+VALUE(MID(F248,4,1))/Parametros!$E$5)</f>
        <v/>
      </c>
      <c r="J248" s="5">
        <f>IF(G248=0,Parametros!$E$8,Parametros!$E$6+Parametros!$E$6*(Parametros!$E$7/G248+I248)/(Parametros!$E$6+Parametros!$E$7/G248+I248))</f>
        <v/>
      </c>
      <c r="K248" s="2" t="inlineStr">
        <is>
          <t>2026-09-28 10:00</t>
        </is>
      </c>
      <c r="L248" s="7" t="inlineStr">
        <is>
          <t>Patamar baixo de ripple (suspeita DAQ)</t>
        </is>
      </c>
      <c r="M248" s="2">
        <f>IF(L248="Válido","Sim","Não")</f>
        <v/>
      </c>
      <c r="N248" s="2" t="inlineStr">
        <is>
          <t>Ripple x C mediano da config = 522 (esperado ~730 a 80W)</t>
        </is>
      </c>
    </row>
    <row r="249">
      <c r="A249" s="2" t="inlineStr">
        <is>
          <t>0Bracos_3000_R1110_80W_2026-09-28_10_00.csv</t>
        </is>
      </c>
      <c r="B249" s="2" t="inlineStr">
        <is>
          <t>80W_3000RPM_R1110</t>
        </is>
      </c>
      <c r="C249" s="2" t="n">
        <v>80</v>
      </c>
      <c r="D249" s="2" t="n">
        <v>3000</v>
      </c>
      <c r="E249" s="3">
        <f>D249*2/60</f>
        <v/>
      </c>
      <c r="F249" s="2" t="inlineStr">
        <is>
          <t>1110</t>
        </is>
      </c>
      <c r="G249" s="2" t="n">
        <v>0</v>
      </c>
      <c r="H249" s="2">
        <f>INDEX(Parametros!$B$2:$B$9,MATCH(G249,Parametros!$A$2:$A$9,0))</f>
        <v/>
      </c>
      <c r="I249" s="4">
        <f>1/(VALUE(MID(F249,1,1))/Parametros!$E$2+VALUE(MID(F249,2,1))/Parametros!$E$3+VALUE(MID(F249,3,1))/Parametros!$E$4+VALUE(MID(F249,4,1))/Parametros!$E$5)</f>
        <v/>
      </c>
      <c r="J249" s="5">
        <f>IF(G249=0,Parametros!$E$8,Parametros!$E$6+Parametros!$E$6*(Parametros!$E$7/G249+I249)/(Parametros!$E$6+Parametros!$E$7/G249+I249))</f>
        <v/>
      </c>
      <c r="K249" s="2" t="inlineStr">
        <is>
          <t>2026-09-28 10:00</t>
        </is>
      </c>
      <c r="L249" s="7" t="inlineStr">
        <is>
          <t>Patamar baixo de ripple (suspeita DAQ)</t>
        </is>
      </c>
      <c r="M249" s="2">
        <f>IF(L249="Válido","Sim","Não")</f>
        <v/>
      </c>
      <c r="N249" s="2" t="inlineStr">
        <is>
          <t>Ripple x C mediano da config = 522 (esperado ~730 a 80W)</t>
        </is>
      </c>
    </row>
    <row r="250">
      <c r="A250" s="2" t="inlineStr">
        <is>
          <t>7Bracos_3000_R1111_80W_2026-09-28_10_00.csv</t>
        </is>
      </c>
      <c r="B250" s="2" t="inlineStr">
        <is>
          <t>80W_3000RPM_R1111</t>
        </is>
      </c>
      <c r="C250" s="2" t="n">
        <v>80</v>
      </c>
      <c r="D250" s="2" t="n">
        <v>3000</v>
      </c>
      <c r="E250" s="3">
        <f>D250*2/60</f>
        <v/>
      </c>
      <c r="F250" s="2" t="inlineStr">
        <is>
          <t>1111</t>
        </is>
      </c>
      <c r="G250" s="2" t="n">
        <v>7</v>
      </c>
      <c r="H250" s="2">
        <f>INDEX(Parametros!$B$2:$B$9,MATCH(G250,Parametros!$A$2:$A$9,0))</f>
        <v/>
      </c>
      <c r="I250" s="4">
        <f>1/(VALUE(MID(F250,1,1))/Parametros!$E$2+VALUE(MID(F250,2,1))/Parametros!$E$3+VALUE(MID(F250,3,1))/Parametros!$E$4+VALUE(MID(F250,4,1))/Parametros!$E$5)</f>
        <v/>
      </c>
      <c r="J250" s="5">
        <f>IF(G250=0,Parametros!$E$8,Parametros!$E$6+Parametros!$E$6*(Parametros!$E$7/G250+I250)/(Parametros!$E$6+Parametros!$E$7/G250+I250))</f>
        <v/>
      </c>
      <c r="K250" s="2" t="inlineStr">
        <is>
          <t>2026-09-28 10:00</t>
        </is>
      </c>
      <c r="L250" s="7" t="inlineStr">
        <is>
          <t>Patamar baixo de ripple (suspeita DAQ)</t>
        </is>
      </c>
      <c r="M250" s="2">
        <f>IF(L250="Válido","Sim","Não")</f>
        <v/>
      </c>
      <c r="N250" s="2" t="inlineStr">
        <is>
          <t>Ripple x C mediano da config = 514 (esperado ~730 a 80W)</t>
        </is>
      </c>
    </row>
    <row r="251">
      <c r="A251" s="2" t="inlineStr">
        <is>
          <t>6Bracos_3000_R1111_80W_2026-09-28_10_00.csv</t>
        </is>
      </c>
      <c r="B251" s="2" t="inlineStr">
        <is>
          <t>80W_3000RPM_R1111</t>
        </is>
      </c>
      <c r="C251" s="2" t="n">
        <v>80</v>
      </c>
      <c r="D251" s="2" t="n">
        <v>3000</v>
      </c>
      <c r="E251" s="3">
        <f>D251*2/60</f>
        <v/>
      </c>
      <c r="F251" s="2" t="inlineStr">
        <is>
          <t>1111</t>
        </is>
      </c>
      <c r="G251" s="2" t="n">
        <v>6</v>
      </c>
      <c r="H251" s="2">
        <f>INDEX(Parametros!$B$2:$B$9,MATCH(G251,Parametros!$A$2:$A$9,0))</f>
        <v/>
      </c>
      <c r="I251" s="4">
        <f>1/(VALUE(MID(F251,1,1))/Parametros!$E$2+VALUE(MID(F251,2,1))/Parametros!$E$3+VALUE(MID(F251,3,1))/Parametros!$E$4+VALUE(MID(F251,4,1))/Parametros!$E$5)</f>
        <v/>
      </c>
      <c r="J251" s="5">
        <f>IF(G251=0,Parametros!$E$8,Parametros!$E$6+Parametros!$E$6*(Parametros!$E$7/G251+I251)/(Parametros!$E$6+Parametros!$E$7/G251+I251))</f>
        <v/>
      </c>
      <c r="K251" s="2" t="inlineStr">
        <is>
          <t>2026-09-28 10:00</t>
        </is>
      </c>
      <c r="L251" s="7" t="inlineStr">
        <is>
          <t>Patamar baixo de ripple (suspeita DAQ)</t>
        </is>
      </c>
      <c r="M251" s="2">
        <f>IF(L251="Válido","Sim","Não")</f>
        <v/>
      </c>
      <c r="N251" s="2" t="inlineStr">
        <is>
          <t>Ripple x C mediano da config = 514 (esperado ~730 a 80W)</t>
        </is>
      </c>
    </row>
    <row r="252">
      <c r="A252" s="2" t="inlineStr">
        <is>
          <t>5Bracos_3000_R1111_80W_2026-09-28_10_00.csv</t>
        </is>
      </c>
      <c r="B252" s="2" t="inlineStr">
        <is>
          <t>80W_3000RPM_R1111</t>
        </is>
      </c>
      <c r="C252" s="2" t="n">
        <v>80</v>
      </c>
      <c r="D252" s="2" t="n">
        <v>3000</v>
      </c>
      <c r="E252" s="3">
        <f>D252*2/60</f>
        <v/>
      </c>
      <c r="F252" s="2" t="inlineStr">
        <is>
          <t>1111</t>
        </is>
      </c>
      <c r="G252" s="2" t="n">
        <v>5</v>
      </c>
      <c r="H252" s="2">
        <f>INDEX(Parametros!$B$2:$B$9,MATCH(G252,Parametros!$A$2:$A$9,0))</f>
        <v/>
      </c>
      <c r="I252" s="4">
        <f>1/(VALUE(MID(F252,1,1))/Parametros!$E$2+VALUE(MID(F252,2,1))/Parametros!$E$3+VALUE(MID(F252,3,1))/Parametros!$E$4+VALUE(MID(F252,4,1))/Parametros!$E$5)</f>
        <v/>
      </c>
      <c r="J252" s="5">
        <f>IF(G252=0,Parametros!$E$8,Parametros!$E$6+Parametros!$E$6*(Parametros!$E$7/G252+I252)/(Parametros!$E$6+Parametros!$E$7/G252+I252))</f>
        <v/>
      </c>
      <c r="K252" s="2" t="inlineStr">
        <is>
          <t>2026-09-28 10:00</t>
        </is>
      </c>
      <c r="L252" s="7" t="inlineStr">
        <is>
          <t>Patamar baixo de ripple (suspeita DAQ)</t>
        </is>
      </c>
      <c r="M252" s="2">
        <f>IF(L252="Válido","Sim","Não")</f>
        <v/>
      </c>
      <c r="N252" s="2" t="inlineStr">
        <is>
          <t>Ripple x C mediano da config = 514 (esperado ~730 a 80W)</t>
        </is>
      </c>
    </row>
    <row r="253">
      <c r="A253" s="2" t="inlineStr">
        <is>
          <t>4Bracos_3000_R1111_80W_2026-09-28_10_00.csv</t>
        </is>
      </c>
      <c r="B253" s="2" t="inlineStr">
        <is>
          <t>80W_3000RPM_R1111</t>
        </is>
      </c>
      <c r="C253" s="2" t="n">
        <v>80</v>
      </c>
      <c r="D253" s="2" t="n">
        <v>3000</v>
      </c>
      <c r="E253" s="3">
        <f>D253*2/60</f>
        <v/>
      </c>
      <c r="F253" s="2" t="inlineStr">
        <is>
          <t>1111</t>
        </is>
      </c>
      <c r="G253" s="2" t="n">
        <v>4</v>
      </c>
      <c r="H253" s="2">
        <f>INDEX(Parametros!$B$2:$B$9,MATCH(G253,Parametros!$A$2:$A$9,0))</f>
        <v/>
      </c>
      <c r="I253" s="4">
        <f>1/(VALUE(MID(F253,1,1))/Parametros!$E$2+VALUE(MID(F253,2,1))/Parametros!$E$3+VALUE(MID(F253,3,1))/Parametros!$E$4+VALUE(MID(F253,4,1))/Parametros!$E$5)</f>
        <v/>
      </c>
      <c r="J253" s="5">
        <f>IF(G253=0,Parametros!$E$8,Parametros!$E$6+Parametros!$E$6*(Parametros!$E$7/G253+I253)/(Parametros!$E$6+Parametros!$E$7/G253+I253))</f>
        <v/>
      </c>
      <c r="K253" s="2" t="inlineStr">
        <is>
          <t>2026-09-28 10:00</t>
        </is>
      </c>
      <c r="L253" s="7" t="inlineStr">
        <is>
          <t>Patamar baixo de ripple (suspeita DAQ)</t>
        </is>
      </c>
      <c r="M253" s="2">
        <f>IF(L253="Válido","Sim","Não")</f>
        <v/>
      </c>
      <c r="N253" s="2" t="inlineStr">
        <is>
          <t>Ripple x C mediano da config = 514 (esperado ~730 a 80W)</t>
        </is>
      </c>
    </row>
    <row r="254">
      <c r="A254" s="2" t="inlineStr">
        <is>
          <t>3Bracos_3000_R1111_80W_2026-09-28_10_00.csv</t>
        </is>
      </c>
      <c r="B254" s="2" t="inlineStr">
        <is>
          <t>80W_3000RPM_R1111</t>
        </is>
      </c>
      <c r="C254" s="2" t="n">
        <v>80</v>
      </c>
      <c r="D254" s="2" t="n">
        <v>3000</v>
      </c>
      <c r="E254" s="3">
        <f>D254*2/60</f>
        <v/>
      </c>
      <c r="F254" s="2" t="inlineStr">
        <is>
          <t>1111</t>
        </is>
      </c>
      <c r="G254" s="2" t="n">
        <v>3</v>
      </c>
      <c r="H254" s="2">
        <f>INDEX(Parametros!$B$2:$B$9,MATCH(G254,Parametros!$A$2:$A$9,0))</f>
        <v/>
      </c>
      <c r="I254" s="4">
        <f>1/(VALUE(MID(F254,1,1))/Parametros!$E$2+VALUE(MID(F254,2,1))/Parametros!$E$3+VALUE(MID(F254,3,1))/Parametros!$E$4+VALUE(MID(F254,4,1))/Parametros!$E$5)</f>
        <v/>
      </c>
      <c r="J254" s="5">
        <f>IF(G254=0,Parametros!$E$8,Parametros!$E$6+Parametros!$E$6*(Parametros!$E$7/G254+I254)/(Parametros!$E$6+Parametros!$E$7/G254+I254))</f>
        <v/>
      </c>
      <c r="K254" s="2" t="inlineStr">
        <is>
          <t>2026-09-28 10:00</t>
        </is>
      </c>
      <c r="L254" s="7" t="inlineStr">
        <is>
          <t>Patamar baixo de ripple (suspeita DAQ)</t>
        </is>
      </c>
      <c r="M254" s="2">
        <f>IF(L254="Válido","Sim","Não")</f>
        <v/>
      </c>
      <c r="N254" s="2" t="inlineStr">
        <is>
          <t>Ripple x C mediano da config = 514 (esperado ~730 a 80W)</t>
        </is>
      </c>
    </row>
    <row r="255">
      <c r="A255" s="2" t="inlineStr">
        <is>
          <t>2Bracos_3000_R1111_80W_2026-09-28_10_00.csv</t>
        </is>
      </c>
      <c r="B255" s="2" t="inlineStr">
        <is>
          <t>80W_3000RPM_R1111</t>
        </is>
      </c>
      <c r="C255" s="2" t="n">
        <v>80</v>
      </c>
      <c r="D255" s="2" t="n">
        <v>3000</v>
      </c>
      <c r="E255" s="3">
        <f>D255*2/60</f>
        <v/>
      </c>
      <c r="F255" s="2" t="inlineStr">
        <is>
          <t>1111</t>
        </is>
      </c>
      <c r="G255" s="2" t="n">
        <v>2</v>
      </c>
      <c r="H255" s="2">
        <f>INDEX(Parametros!$B$2:$B$9,MATCH(G255,Parametros!$A$2:$A$9,0))</f>
        <v/>
      </c>
      <c r="I255" s="4">
        <f>1/(VALUE(MID(F255,1,1))/Parametros!$E$2+VALUE(MID(F255,2,1))/Parametros!$E$3+VALUE(MID(F255,3,1))/Parametros!$E$4+VALUE(MID(F255,4,1))/Parametros!$E$5)</f>
        <v/>
      </c>
      <c r="J255" s="5">
        <f>IF(G255=0,Parametros!$E$8,Parametros!$E$6+Parametros!$E$6*(Parametros!$E$7/G255+I255)/(Parametros!$E$6+Parametros!$E$7/G255+I255))</f>
        <v/>
      </c>
      <c r="K255" s="2" t="inlineStr">
        <is>
          <t>2026-09-28 10:00</t>
        </is>
      </c>
      <c r="L255" s="7" t="inlineStr">
        <is>
          <t>Patamar baixo de ripple (suspeita DAQ)</t>
        </is>
      </c>
      <c r="M255" s="2">
        <f>IF(L255="Válido","Sim","Não")</f>
        <v/>
      </c>
      <c r="N255" s="2" t="inlineStr">
        <is>
          <t>Ripple x C mediano da config = 514 (esperado ~730 a 80W)</t>
        </is>
      </c>
    </row>
    <row r="256">
      <c r="A256" s="2" t="inlineStr">
        <is>
          <t>1Bracos_3000_R1111_80W_2026-09-28_10_00.csv</t>
        </is>
      </c>
      <c r="B256" s="2" t="inlineStr">
        <is>
          <t>80W_3000RPM_R1111</t>
        </is>
      </c>
      <c r="C256" s="2" t="n">
        <v>80</v>
      </c>
      <c r="D256" s="2" t="n">
        <v>3000</v>
      </c>
      <c r="E256" s="3">
        <f>D256*2/60</f>
        <v/>
      </c>
      <c r="F256" s="2" t="inlineStr">
        <is>
          <t>1111</t>
        </is>
      </c>
      <c r="G256" s="2" t="n">
        <v>1</v>
      </c>
      <c r="H256" s="2">
        <f>INDEX(Parametros!$B$2:$B$9,MATCH(G256,Parametros!$A$2:$A$9,0))</f>
        <v/>
      </c>
      <c r="I256" s="4">
        <f>1/(VALUE(MID(F256,1,1))/Parametros!$E$2+VALUE(MID(F256,2,1))/Parametros!$E$3+VALUE(MID(F256,3,1))/Parametros!$E$4+VALUE(MID(F256,4,1))/Parametros!$E$5)</f>
        <v/>
      </c>
      <c r="J256" s="5">
        <f>IF(G256=0,Parametros!$E$8,Parametros!$E$6+Parametros!$E$6*(Parametros!$E$7/G256+I256)/(Parametros!$E$6+Parametros!$E$7/G256+I256))</f>
        <v/>
      </c>
      <c r="K256" s="2" t="inlineStr">
        <is>
          <t>2026-09-28 10:00</t>
        </is>
      </c>
      <c r="L256" s="7" t="inlineStr">
        <is>
          <t>Patamar baixo de ripple (suspeita DAQ)</t>
        </is>
      </c>
      <c r="M256" s="2">
        <f>IF(L256="Válido","Sim","Não")</f>
        <v/>
      </c>
      <c r="N256" s="2" t="inlineStr">
        <is>
          <t>Ripple x C mediano da config = 514 (esperado ~730 a 80W)</t>
        </is>
      </c>
    </row>
    <row r="257">
      <c r="A257" s="2" t="inlineStr">
        <is>
          <t>0Bracos_3000_R1111_80W_2026-09-28_10_00.csv</t>
        </is>
      </c>
      <c r="B257" s="2" t="inlineStr">
        <is>
          <t>80W_3000RPM_R1111</t>
        </is>
      </c>
      <c r="C257" s="2" t="n">
        <v>80</v>
      </c>
      <c r="D257" s="2" t="n">
        <v>3000</v>
      </c>
      <c r="E257" s="3">
        <f>D257*2/60</f>
        <v/>
      </c>
      <c r="F257" s="2" t="inlineStr">
        <is>
          <t>1111</t>
        </is>
      </c>
      <c r="G257" s="2" t="n">
        <v>0</v>
      </c>
      <c r="H257" s="2">
        <f>INDEX(Parametros!$B$2:$B$9,MATCH(G257,Parametros!$A$2:$A$9,0))</f>
        <v/>
      </c>
      <c r="I257" s="4">
        <f>1/(VALUE(MID(F257,1,1))/Parametros!$E$2+VALUE(MID(F257,2,1))/Parametros!$E$3+VALUE(MID(F257,3,1))/Parametros!$E$4+VALUE(MID(F257,4,1))/Parametros!$E$5)</f>
        <v/>
      </c>
      <c r="J257" s="5">
        <f>IF(G257=0,Parametros!$E$8,Parametros!$E$6+Parametros!$E$6*(Parametros!$E$7/G257+I257)/(Parametros!$E$6+Parametros!$E$7/G257+I257))</f>
        <v/>
      </c>
      <c r="K257" s="2" t="inlineStr">
        <is>
          <t>2026-09-28 10:00</t>
        </is>
      </c>
      <c r="L257" s="7" t="inlineStr">
        <is>
          <t>Patamar baixo de ripple (suspeita DAQ)</t>
        </is>
      </c>
      <c r="M257" s="2">
        <f>IF(L257="Válido","Sim","Não")</f>
        <v/>
      </c>
      <c r="N257" s="2" t="inlineStr">
        <is>
          <t>Ripple x C mediano da config = 514 (esperado ~730 a 80W)</t>
        </is>
      </c>
    </row>
    <row r="258">
      <c r="A258" s="2" t="inlineStr">
        <is>
          <t>7Bracos_R0001_80W_2026-09-24_15_15.csv</t>
        </is>
      </c>
      <c r="B258" s="2" t="inlineStr">
        <is>
          <t>80W_3500RPM_R0001</t>
        </is>
      </c>
      <c r="C258" s="2" t="n">
        <v>80</v>
      </c>
      <c r="D258" s="2" t="n">
        <v>3500</v>
      </c>
      <c r="E258" s="3">
        <f>D258*2/60</f>
        <v/>
      </c>
      <c r="F258" s="2" t="inlineStr">
        <is>
          <t>0001</t>
        </is>
      </c>
      <c r="G258" s="2" t="n">
        <v>7</v>
      </c>
      <c r="H258" s="2">
        <f>INDEX(Parametros!$B$2:$B$9,MATCH(G258,Parametros!$A$2:$A$9,0))</f>
        <v/>
      </c>
      <c r="I258" s="4">
        <f>1/(VALUE(MID(F258,1,1))/Parametros!$E$2+VALUE(MID(F258,2,1))/Parametros!$E$3+VALUE(MID(F258,3,1))/Parametros!$E$4+VALUE(MID(F258,4,1))/Parametros!$E$5)</f>
        <v/>
      </c>
      <c r="J258" s="5">
        <f>IF(G258=0,Parametros!$E$8,Parametros!$E$6+Parametros!$E$6*(Parametros!$E$7/G258+I258)/(Parametros!$E$6+Parametros!$E$7/G258+I258))</f>
        <v/>
      </c>
      <c r="K258" s="2" t="inlineStr">
        <is>
          <t>2026-09-24 15:15</t>
        </is>
      </c>
      <c r="L258" s="7" t="inlineStr">
        <is>
          <t>Patamar baixo de ripple (suspeita DAQ)</t>
        </is>
      </c>
      <c r="M258" s="2">
        <f>IF(L258="Válido","Sim","Não")</f>
        <v/>
      </c>
      <c r="N258" s="2" t="inlineStr">
        <is>
          <t>Ripple x C mediano da config = 601 (esperado ~730 a 80W)</t>
        </is>
      </c>
    </row>
    <row r="259">
      <c r="A259" s="2" t="inlineStr">
        <is>
          <t>6Bracos_R0001_80W_2026-09-24_15_15.csv</t>
        </is>
      </c>
      <c r="B259" s="2" t="inlineStr">
        <is>
          <t>80W_3500RPM_R0001</t>
        </is>
      </c>
      <c r="C259" s="2" t="n">
        <v>80</v>
      </c>
      <c r="D259" s="2" t="n">
        <v>3500</v>
      </c>
      <c r="E259" s="3">
        <f>D259*2/60</f>
        <v/>
      </c>
      <c r="F259" s="2" t="inlineStr">
        <is>
          <t>0001</t>
        </is>
      </c>
      <c r="G259" s="2" t="n">
        <v>6</v>
      </c>
      <c r="H259" s="2">
        <f>INDEX(Parametros!$B$2:$B$9,MATCH(G259,Parametros!$A$2:$A$9,0))</f>
        <v/>
      </c>
      <c r="I259" s="4">
        <f>1/(VALUE(MID(F259,1,1))/Parametros!$E$2+VALUE(MID(F259,2,1))/Parametros!$E$3+VALUE(MID(F259,3,1))/Parametros!$E$4+VALUE(MID(F259,4,1))/Parametros!$E$5)</f>
        <v/>
      </c>
      <c r="J259" s="5">
        <f>IF(G259=0,Parametros!$E$8,Parametros!$E$6+Parametros!$E$6*(Parametros!$E$7/G259+I259)/(Parametros!$E$6+Parametros!$E$7/G259+I259))</f>
        <v/>
      </c>
      <c r="K259" s="2" t="inlineStr">
        <is>
          <t>2026-09-24 15:15</t>
        </is>
      </c>
      <c r="L259" s="7" t="inlineStr">
        <is>
          <t>Patamar baixo de ripple (suspeita DAQ)</t>
        </is>
      </c>
      <c r="M259" s="2">
        <f>IF(L259="Válido","Sim","Não")</f>
        <v/>
      </c>
      <c r="N259" s="2" t="inlineStr">
        <is>
          <t>Ripple x C mediano da config = 601 (esperado ~730 a 80W)</t>
        </is>
      </c>
    </row>
    <row r="260">
      <c r="A260" s="2" t="inlineStr">
        <is>
          <t>5Bracos_R0001_80W_2026-09-24_15_15.csv</t>
        </is>
      </c>
      <c r="B260" s="2" t="inlineStr">
        <is>
          <t>80W_3500RPM_R0001</t>
        </is>
      </c>
      <c r="C260" s="2" t="n">
        <v>80</v>
      </c>
      <c r="D260" s="2" t="n">
        <v>3500</v>
      </c>
      <c r="E260" s="3">
        <f>D260*2/60</f>
        <v/>
      </c>
      <c r="F260" s="2" t="inlineStr">
        <is>
          <t>0001</t>
        </is>
      </c>
      <c r="G260" s="2" t="n">
        <v>5</v>
      </c>
      <c r="H260" s="2">
        <f>INDEX(Parametros!$B$2:$B$9,MATCH(G260,Parametros!$A$2:$A$9,0))</f>
        <v/>
      </c>
      <c r="I260" s="4">
        <f>1/(VALUE(MID(F260,1,1))/Parametros!$E$2+VALUE(MID(F260,2,1))/Parametros!$E$3+VALUE(MID(F260,3,1))/Parametros!$E$4+VALUE(MID(F260,4,1))/Parametros!$E$5)</f>
        <v/>
      </c>
      <c r="J260" s="5">
        <f>IF(G260=0,Parametros!$E$8,Parametros!$E$6+Parametros!$E$6*(Parametros!$E$7/G260+I260)/(Parametros!$E$6+Parametros!$E$7/G260+I260))</f>
        <v/>
      </c>
      <c r="K260" s="2" t="inlineStr">
        <is>
          <t>2026-09-24 15:15</t>
        </is>
      </c>
      <c r="L260" s="7" t="inlineStr">
        <is>
          <t>Patamar baixo de ripple (suspeita DAQ)</t>
        </is>
      </c>
      <c r="M260" s="2">
        <f>IF(L260="Válido","Sim","Não")</f>
        <v/>
      </c>
      <c r="N260" s="2" t="inlineStr">
        <is>
          <t>Ripple x C mediano da config = 601 (esperado ~730 a 80W)</t>
        </is>
      </c>
    </row>
    <row r="261">
      <c r="A261" s="2" t="inlineStr">
        <is>
          <t>4Bracos_R0001_80W_2026-09-24_15_15.csv</t>
        </is>
      </c>
      <c r="B261" s="2" t="inlineStr">
        <is>
          <t>80W_3500RPM_R0001</t>
        </is>
      </c>
      <c r="C261" s="2" t="n">
        <v>80</v>
      </c>
      <c r="D261" s="2" t="n">
        <v>3500</v>
      </c>
      <c r="E261" s="3">
        <f>D261*2/60</f>
        <v/>
      </c>
      <c r="F261" s="2" t="inlineStr">
        <is>
          <t>0001</t>
        </is>
      </c>
      <c r="G261" s="2" t="n">
        <v>4</v>
      </c>
      <c r="H261" s="2">
        <f>INDEX(Parametros!$B$2:$B$9,MATCH(G261,Parametros!$A$2:$A$9,0))</f>
        <v/>
      </c>
      <c r="I261" s="4">
        <f>1/(VALUE(MID(F261,1,1))/Parametros!$E$2+VALUE(MID(F261,2,1))/Parametros!$E$3+VALUE(MID(F261,3,1))/Parametros!$E$4+VALUE(MID(F261,4,1))/Parametros!$E$5)</f>
        <v/>
      </c>
      <c r="J261" s="5">
        <f>IF(G261=0,Parametros!$E$8,Parametros!$E$6+Parametros!$E$6*(Parametros!$E$7/G261+I261)/(Parametros!$E$6+Parametros!$E$7/G261+I261))</f>
        <v/>
      </c>
      <c r="K261" s="2" t="inlineStr">
        <is>
          <t>2026-09-24 15:15</t>
        </is>
      </c>
      <c r="L261" s="7" t="inlineStr">
        <is>
          <t>Patamar baixo de ripple (suspeita DAQ)</t>
        </is>
      </c>
      <c r="M261" s="2">
        <f>IF(L261="Válido","Sim","Não")</f>
        <v/>
      </c>
      <c r="N261" s="2" t="inlineStr">
        <is>
          <t>Ripple x C mediano da config = 601 (esperado ~730 a 80W)</t>
        </is>
      </c>
    </row>
    <row r="262">
      <c r="A262" s="2" t="inlineStr">
        <is>
          <t>3Bracos_R0001_80W_2026-09-24_15_15.csv</t>
        </is>
      </c>
      <c r="B262" s="2" t="inlineStr">
        <is>
          <t>80W_3500RPM_R0001</t>
        </is>
      </c>
      <c r="C262" s="2" t="n">
        <v>80</v>
      </c>
      <c r="D262" s="2" t="n">
        <v>3500</v>
      </c>
      <c r="E262" s="3">
        <f>D262*2/60</f>
        <v/>
      </c>
      <c r="F262" s="2" t="inlineStr">
        <is>
          <t>0001</t>
        </is>
      </c>
      <c r="G262" s="2" t="n">
        <v>3</v>
      </c>
      <c r="H262" s="2">
        <f>INDEX(Parametros!$B$2:$B$9,MATCH(G262,Parametros!$A$2:$A$9,0))</f>
        <v/>
      </c>
      <c r="I262" s="4">
        <f>1/(VALUE(MID(F262,1,1))/Parametros!$E$2+VALUE(MID(F262,2,1))/Parametros!$E$3+VALUE(MID(F262,3,1))/Parametros!$E$4+VALUE(MID(F262,4,1))/Parametros!$E$5)</f>
        <v/>
      </c>
      <c r="J262" s="5">
        <f>IF(G262=0,Parametros!$E$8,Parametros!$E$6+Parametros!$E$6*(Parametros!$E$7/G262+I262)/(Parametros!$E$6+Parametros!$E$7/G262+I262))</f>
        <v/>
      </c>
      <c r="K262" s="2" t="inlineStr">
        <is>
          <t>2026-09-24 15:15</t>
        </is>
      </c>
      <c r="L262" s="7" t="inlineStr">
        <is>
          <t>Patamar baixo de ripple (suspeita DAQ)</t>
        </is>
      </c>
      <c r="M262" s="2">
        <f>IF(L262="Válido","Sim","Não")</f>
        <v/>
      </c>
      <c r="N262" s="2" t="inlineStr">
        <is>
          <t>Ripple x C mediano da config = 601 (esperado ~730 a 80W)</t>
        </is>
      </c>
    </row>
    <row r="263">
      <c r="A263" s="2" t="inlineStr">
        <is>
          <t>2Bracos_R0001_80W_2026-09-24_15_15.csv</t>
        </is>
      </c>
      <c r="B263" s="2" t="inlineStr">
        <is>
          <t>80W_3500RPM_R0001</t>
        </is>
      </c>
      <c r="C263" s="2" t="n">
        <v>80</v>
      </c>
      <c r="D263" s="2" t="n">
        <v>3500</v>
      </c>
      <c r="E263" s="3">
        <f>D263*2/60</f>
        <v/>
      </c>
      <c r="F263" s="2" t="inlineStr">
        <is>
          <t>0001</t>
        </is>
      </c>
      <c r="G263" s="2" t="n">
        <v>2</v>
      </c>
      <c r="H263" s="2">
        <f>INDEX(Parametros!$B$2:$B$9,MATCH(G263,Parametros!$A$2:$A$9,0))</f>
        <v/>
      </c>
      <c r="I263" s="4">
        <f>1/(VALUE(MID(F263,1,1))/Parametros!$E$2+VALUE(MID(F263,2,1))/Parametros!$E$3+VALUE(MID(F263,3,1))/Parametros!$E$4+VALUE(MID(F263,4,1))/Parametros!$E$5)</f>
        <v/>
      </c>
      <c r="J263" s="5">
        <f>IF(G263=0,Parametros!$E$8,Parametros!$E$6+Parametros!$E$6*(Parametros!$E$7/G263+I263)/(Parametros!$E$6+Parametros!$E$7/G263+I263))</f>
        <v/>
      </c>
      <c r="K263" s="2" t="inlineStr">
        <is>
          <t>2026-09-24 15:15</t>
        </is>
      </c>
      <c r="L263" s="7" t="inlineStr">
        <is>
          <t>Patamar baixo de ripple (suspeita DAQ)</t>
        </is>
      </c>
      <c r="M263" s="2">
        <f>IF(L263="Válido","Sim","Não")</f>
        <v/>
      </c>
      <c r="N263" s="2" t="inlineStr">
        <is>
          <t>Ripple x C mediano da config = 601 (esperado ~730 a 80W)</t>
        </is>
      </c>
    </row>
    <row r="264">
      <c r="A264" s="2" t="inlineStr">
        <is>
          <t>1Bracos_R0001_80W_2026-09-24_15_15.csv</t>
        </is>
      </c>
      <c r="B264" s="2" t="inlineStr">
        <is>
          <t>80W_3500RPM_R0001</t>
        </is>
      </c>
      <c r="C264" s="2" t="n">
        <v>80</v>
      </c>
      <c r="D264" s="2" t="n">
        <v>3500</v>
      </c>
      <c r="E264" s="3">
        <f>D264*2/60</f>
        <v/>
      </c>
      <c r="F264" s="2" t="inlineStr">
        <is>
          <t>0001</t>
        </is>
      </c>
      <c r="G264" s="2" t="n">
        <v>1</v>
      </c>
      <c r="H264" s="2">
        <f>INDEX(Parametros!$B$2:$B$9,MATCH(G264,Parametros!$A$2:$A$9,0))</f>
        <v/>
      </c>
      <c r="I264" s="4">
        <f>1/(VALUE(MID(F264,1,1))/Parametros!$E$2+VALUE(MID(F264,2,1))/Parametros!$E$3+VALUE(MID(F264,3,1))/Parametros!$E$4+VALUE(MID(F264,4,1))/Parametros!$E$5)</f>
        <v/>
      </c>
      <c r="J264" s="5">
        <f>IF(G264=0,Parametros!$E$8,Parametros!$E$6+Parametros!$E$6*(Parametros!$E$7/G264+I264)/(Parametros!$E$6+Parametros!$E$7/G264+I264))</f>
        <v/>
      </c>
      <c r="K264" s="2" t="inlineStr">
        <is>
          <t>2026-09-24 15:15</t>
        </is>
      </c>
      <c r="L264" s="7" t="inlineStr">
        <is>
          <t>Patamar baixo de ripple (suspeita DAQ)</t>
        </is>
      </c>
      <c r="M264" s="2">
        <f>IF(L264="Válido","Sim","Não")</f>
        <v/>
      </c>
      <c r="N264" s="2" t="inlineStr">
        <is>
          <t>Ripple x C mediano da config = 601 (esperado ~730 a 80W)</t>
        </is>
      </c>
    </row>
    <row r="265">
      <c r="A265" s="2" t="inlineStr">
        <is>
          <t>0Bracos_R0001_80W_2026-09-24_15_15.csv</t>
        </is>
      </c>
      <c r="B265" s="2" t="inlineStr">
        <is>
          <t>80W_3500RPM_R0001</t>
        </is>
      </c>
      <c r="C265" s="2" t="n">
        <v>80</v>
      </c>
      <c r="D265" s="2" t="n">
        <v>3500</v>
      </c>
      <c r="E265" s="3">
        <f>D265*2/60</f>
        <v/>
      </c>
      <c r="F265" s="2" t="inlineStr">
        <is>
          <t>0001</t>
        </is>
      </c>
      <c r="G265" s="2" t="n">
        <v>0</v>
      </c>
      <c r="H265" s="2">
        <f>INDEX(Parametros!$B$2:$B$9,MATCH(G265,Parametros!$A$2:$A$9,0))</f>
        <v/>
      </c>
      <c r="I265" s="4">
        <f>1/(VALUE(MID(F265,1,1))/Parametros!$E$2+VALUE(MID(F265,2,1))/Parametros!$E$3+VALUE(MID(F265,3,1))/Parametros!$E$4+VALUE(MID(F265,4,1))/Parametros!$E$5)</f>
        <v/>
      </c>
      <c r="J265" s="5">
        <f>IF(G265=0,Parametros!$E$8,Parametros!$E$6+Parametros!$E$6*(Parametros!$E$7/G265+I265)/(Parametros!$E$6+Parametros!$E$7/G265+I265))</f>
        <v/>
      </c>
      <c r="K265" s="2" t="inlineStr">
        <is>
          <t>2026-09-24 15:15</t>
        </is>
      </c>
      <c r="L265" s="7" t="inlineStr">
        <is>
          <t>Patamar baixo de ripple (suspeita DAQ)</t>
        </is>
      </c>
      <c r="M265" s="2">
        <f>IF(L265="Válido","Sim","Não")</f>
        <v/>
      </c>
      <c r="N265" s="2" t="inlineStr">
        <is>
          <t>Ripple x C mediano da config = 601 (esperado ~730 a 80W)</t>
        </is>
      </c>
    </row>
    <row r="266">
      <c r="A266" s="2" t="inlineStr">
        <is>
          <t>7Bracos_R0010_80W_2026-09-24_15_15.csv</t>
        </is>
      </c>
      <c r="B266" s="2" t="inlineStr">
        <is>
          <t>80W_3500RPM_R0010</t>
        </is>
      </c>
      <c r="C266" s="2" t="n">
        <v>80</v>
      </c>
      <c r="D266" s="2" t="n">
        <v>3500</v>
      </c>
      <c r="E266" s="3">
        <f>D266*2/60</f>
        <v/>
      </c>
      <c r="F266" s="2" t="inlineStr">
        <is>
          <t>0010</t>
        </is>
      </c>
      <c r="G266" s="2" t="n">
        <v>7</v>
      </c>
      <c r="H266" s="2">
        <f>INDEX(Parametros!$B$2:$B$9,MATCH(G266,Parametros!$A$2:$A$9,0))</f>
        <v/>
      </c>
      <c r="I266" s="4">
        <f>1/(VALUE(MID(F266,1,1))/Parametros!$E$2+VALUE(MID(F266,2,1))/Parametros!$E$3+VALUE(MID(F266,3,1))/Parametros!$E$4+VALUE(MID(F266,4,1))/Parametros!$E$5)</f>
        <v/>
      </c>
      <c r="J266" s="5">
        <f>IF(G266=0,Parametros!$E$8,Parametros!$E$6+Parametros!$E$6*(Parametros!$E$7/G266+I266)/(Parametros!$E$6+Parametros!$E$7/G266+I266))</f>
        <v/>
      </c>
      <c r="K266" s="2" t="inlineStr">
        <is>
          <t>2026-09-24 15:15</t>
        </is>
      </c>
      <c r="L266" s="7" t="inlineStr">
        <is>
          <t>Patamar baixo de ripple (suspeita DAQ)</t>
        </is>
      </c>
      <c r="M266" s="2">
        <f>IF(L266="Válido","Sim","Não")</f>
        <v/>
      </c>
      <c r="N266" s="2" t="inlineStr">
        <is>
          <t>Ripple x C mediano da config = 539 (esperado ~730 a 80W)</t>
        </is>
      </c>
    </row>
    <row r="267">
      <c r="A267" s="2" t="inlineStr">
        <is>
          <t>6Bracos_R0010_80W_2026-09-24_15_15.csv</t>
        </is>
      </c>
      <c r="B267" s="2" t="inlineStr">
        <is>
          <t>80W_3500RPM_R0010</t>
        </is>
      </c>
      <c r="C267" s="2" t="n">
        <v>80</v>
      </c>
      <c r="D267" s="2" t="n">
        <v>3500</v>
      </c>
      <c r="E267" s="3">
        <f>D267*2/60</f>
        <v/>
      </c>
      <c r="F267" s="2" t="inlineStr">
        <is>
          <t>0010</t>
        </is>
      </c>
      <c r="G267" s="2" t="n">
        <v>6</v>
      </c>
      <c r="H267" s="2">
        <f>INDEX(Parametros!$B$2:$B$9,MATCH(G267,Parametros!$A$2:$A$9,0))</f>
        <v/>
      </c>
      <c r="I267" s="4">
        <f>1/(VALUE(MID(F267,1,1))/Parametros!$E$2+VALUE(MID(F267,2,1))/Parametros!$E$3+VALUE(MID(F267,3,1))/Parametros!$E$4+VALUE(MID(F267,4,1))/Parametros!$E$5)</f>
        <v/>
      </c>
      <c r="J267" s="5">
        <f>IF(G267=0,Parametros!$E$8,Parametros!$E$6+Parametros!$E$6*(Parametros!$E$7/G267+I267)/(Parametros!$E$6+Parametros!$E$7/G267+I267))</f>
        <v/>
      </c>
      <c r="K267" s="2" t="inlineStr">
        <is>
          <t>2026-09-24 15:15</t>
        </is>
      </c>
      <c r="L267" s="7" t="inlineStr">
        <is>
          <t>Patamar baixo de ripple (suspeita DAQ)</t>
        </is>
      </c>
      <c r="M267" s="2">
        <f>IF(L267="Válido","Sim","Não")</f>
        <v/>
      </c>
      <c r="N267" s="2" t="inlineStr">
        <is>
          <t>Ripple x C mediano da config = 539 (esperado ~730 a 80W)</t>
        </is>
      </c>
    </row>
    <row r="268">
      <c r="A268" s="2" t="inlineStr">
        <is>
          <t>5Bracos_R0010_80W_2026-09-24_15_15.csv</t>
        </is>
      </c>
      <c r="B268" s="2" t="inlineStr">
        <is>
          <t>80W_3500RPM_R0010</t>
        </is>
      </c>
      <c r="C268" s="2" t="n">
        <v>80</v>
      </c>
      <c r="D268" s="2" t="n">
        <v>3500</v>
      </c>
      <c r="E268" s="3">
        <f>D268*2/60</f>
        <v/>
      </c>
      <c r="F268" s="2" t="inlineStr">
        <is>
          <t>0010</t>
        </is>
      </c>
      <c r="G268" s="2" t="n">
        <v>5</v>
      </c>
      <c r="H268" s="2">
        <f>INDEX(Parametros!$B$2:$B$9,MATCH(G268,Parametros!$A$2:$A$9,0))</f>
        <v/>
      </c>
      <c r="I268" s="4">
        <f>1/(VALUE(MID(F268,1,1))/Parametros!$E$2+VALUE(MID(F268,2,1))/Parametros!$E$3+VALUE(MID(F268,3,1))/Parametros!$E$4+VALUE(MID(F268,4,1))/Parametros!$E$5)</f>
        <v/>
      </c>
      <c r="J268" s="5">
        <f>IF(G268=0,Parametros!$E$8,Parametros!$E$6+Parametros!$E$6*(Parametros!$E$7/G268+I268)/(Parametros!$E$6+Parametros!$E$7/G268+I268))</f>
        <v/>
      </c>
      <c r="K268" s="2" t="inlineStr">
        <is>
          <t>2026-09-24 15:15</t>
        </is>
      </c>
      <c r="L268" s="7" t="inlineStr">
        <is>
          <t>Patamar baixo de ripple (suspeita DAQ)</t>
        </is>
      </c>
      <c r="M268" s="2">
        <f>IF(L268="Válido","Sim","Não")</f>
        <v/>
      </c>
      <c r="N268" s="2" t="inlineStr">
        <is>
          <t>Ripple x C mediano da config = 539 (esperado ~730 a 80W)</t>
        </is>
      </c>
    </row>
    <row r="269">
      <c r="A269" s="2" t="inlineStr">
        <is>
          <t>4Bracos_R0010_80W_2026-09-24_15_15.csv</t>
        </is>
      </c>
      <c r="B269" s="2" t="inlineStr">
        <is>
          <t>80W_3500RPM_R0010</t>
        </is>
      </c>
      <c r="C269" s="2" t="n">
        <v>80</v>
      </c>
      <c r="D269" s="2" t="n">
        <v>3500</v>
      </c>
      <c r="E269" s="3">
        <f>D269*2/60</f>
        <v/>
      </c>
      <c r="F269" s="2" t="inlineStr">
        <is>
          <t>0010</t>
        </is>
      </c>
      <c r="G269" s="2" t="n">
        <v>4</v>
      </c>
      <c r="H269" s="2">
        <f>INDEX(Parametros!$B$2:$B$9,MATCH(G269,Parametros!$A$2:$A$9,0))</f>
        <v/>
      </c>
      <c r="I269" s="4">
        <f>1/(VALUE(MID(F269,1,1))/Parametros!$E$2+VALUE(MID(F269,2,1))/Parametros!$E$3+VALUE(MID(F269,3,1))/Parametros!$E$4+VALUE(MID(F269,4,1))/Parametros!$E$5)</f>
        <v/>
      </c>
      <c r="J269" s="5">
        <f>IF(G269=0,Parametros!$E$8,Parametros!$E$6+Parametros!$E$6*(Parametros!$E$7/G269+I269)/(Parametros!$E$6+Parametros!$E$7/G269+I269))</f>
        <v/>
      </c>
      <c r="K269" s="2" t="inlineStr">
        <is>
          <t>2026-09-24 15:15</t>
        </is>
      </c>
      <c r="L269" s="7" t="inlineStr">
        <is>
          <t>Patamar baixo de ripple (suspeita DAQ)</t>
        </is>
      </c>
      <c r="M269" s="2">
        <f>IF(L269="Válido","Sim","Não")</f>
        <v/>
      </c>
      <c r="N269" s="2" t="inlineStr">
        <is>
          <t>Ripple x C mediano da config = 539 (esperado ~730 a 80W)</t>
        </is>
      </c>
    </row>
    <row r="270">
      <c r="A270" s="2" t="inlineStr">
        <is>
          <t>3Bracos_R0010_80W_2026-09-24_15_15.csv</t>
        </is>
      </c>
      <c r="B270" s="2" t="inlineStr">
        <is>
          <t>80W_3500RPM_R0010</t>
        </is>
      </c>
      <c r="C270" s="2" t="n">
        <v>80</v>
      </c>
      <c r="D270" s="2" t="n">
        <v>3500</v>
      </c>
      <c r="E270" s="3">
        <f>D270*2/60</f>
        <v/>
      </c>
      <c r="F270" s="2" t="inlineStr">
        <is>
          <t>0010</t>
        </is>
      </c>
      <c r="G270" s="2" t="n">
        <v>3</v>
      </c>
      <c r="H270" s="2">
        <f>INDEX(Parametros!$B$2:$B$9,MATCH(G270,Parametros!$A$2:$A$9,0))</f>
        <v/>
      </c>
      <c r="I270" s="4">
        <f>1/(VALUE(MID(F270,1,1))/Parametros!$E$2+VALUE(MID(F270,2,1))/Parametros!$E$3+VALUE(MID(F270,3,1))/Parametros!$E$4+VALUE(MID(F270,4,1))/Parametros!$E$5)</f>
        <v/>
      </c>
      <c r="J270" s="5">
        <f>IF(G270=0,Parametros!$E$8,Parametros!$E$6+Parametros!$E$6*(Parametros!$E$7/G270+I270)/(Parametros!$E$6+Parametros!$E$7/G270+I270))</f>
        <v/>
      </c>
      <c r="K270" s="2" t="inlineStr">
        <is>
          <t>2026-09-24 15:15</t>
        </is>
      </c>
      <c r="L270" s="7" t="inlineStr">
        <is>
          <t>Patamar baixo de ripple (suspeita DAQ)</t>
        </is>
      </c>
      <c r="M270" s="2">
        <f>IF(L270="Válido","Sim","Não")</f>
        <v/>
      </c>
      <c r="N270" s="2" t="inlineStr">
        <is>
          <t>Ripple x C mediano da config = 539 (esperado ~730 a 80W)</t>
        </is>
      </c>
    </row>
    <row r="271">
      <c r="A271" s="2" t="inlineStr">
        <is>
          <t>2Bracos_R0010_80W_2026-09-24_15_15.csv</t>
        </is>
      </c>
      <c r="B271" s="2" t="inlineStr">
        <is>
          <t>80W_3500RPM_R0010</t>
        </is>
      </c>
      <c r="C271" s="2" t="n">
        <v>80</v>
      </c>
      <c r="D271" s="2" t="n">
        <v>3500</v>
      </c>
      <c r="E271" s="3">
        <f>D271*2/60</f>
        <v/>
      </c>
      <c r="F271" s="2" t="inlineStr">
        <is>
          <t>0010</t>
        </is>
      </c>
      <c r="G271" s="2" t="n">
        <v>2</v>
      </c>
      <c r="H271" s="2">
        <f>INDEX(Parametros!$B$2:$B$9,MATCH(G271,Parametros!$A$2:$A$9,0))</f>
        <v/>
      </c>
      <c r="I271" s="4">
        <f>1/(VALUE(MID(F271,1,1))/Parametros!$E$2+VALUE(MID(F271,2,1))/Parametros!$E$3+VALUE(MID(F271,3,1))/Parametros!$E$4+VALUE(MID(F271,4,1))/Parametros!$E$5)</f>
        <v/>
      </c>
      <c r="J271" s="5">
        <f>IF(G271=0,Parametros!$E$8,Parametros!$E$6+Parametros!$E$6*(Parametros!$E$7/G271+I271)/(Parametros!$E$6+Parametros!$E$7/G271+I271))</f>
        <v/>
      </c>
      <c r="K271" s="2" t="inlineStr">
        <is>
          <t>2026-09-24 15:15</t>
        </is>
      </c>
      <c r="L271" s="7" t="inlineStr">
        <is>
          <t>Patamar baixo de ripple (suspeita DAQ)</t>
        </is>
      </c>
      <c r="M271" s="2">
        <f>IF(L271="Válido","Sim","Não")</f>
        <v/>
      </c>
      <c r="N271" s="2" t="inlineStr">
        <is>
          <t>Ripple x C mediano da config = 539 (esperado ~730 a 80W)</t>
        </is>
      </c>
    </row>
    <row r="272">
      <c r="A272" s="2" t="inlineStr">
        <is>
          <t>1Bracos_R0010_80W_2026-09-24_15_15.csv</t>
        </is>
      </c>
      <c r="B272" s="2" t="inlineStr">
        <is>
          <t>80W_3500RPM_R0010</t>
        </is>
      </c>
      <c r="C272" s="2" t="n">
        <v>80</v>
      </c>
      <c r="D272" s="2" t="n">
        <v>3500</v>
      </c>
      <c r="E272" s="3">
        <f>D272*2/60</f>
        <v/>
      </c>
      <c r="F272" s="2" t="inlineStr">
        <is>
          <t>0010</t>
        </is>
      </c>
      <c r="G272" s="2" t="n">
        <v>1</v>
      </c>
      <c r="H272" s="2">
        <f>INDEX(Parametros!$B$2:$B$9,MATCH(G272,Parametros!$A$2:$A$9,0))</f>
        <v/>
      </c>
      <c r="I272" s="4">
        <f>1/(VALUE(MID(F272,1,1))/Parametros!$E$2+VALUE(MID(F272,2,1))/Parametros!$E$3+VALUE(MID(F272,3,1))/Parametros!$E$4+VALUE(MID(F272,4,1))/Parametros!$E$5)</f>
        <v/>
      </c>
      <c r="J272" s="5">
        <f>IF(G272=0,Parametros!$E$8,Parametros!$E$6+Parametros!$E$6*(Parametros!$E$7/G272+I272)/(Parametros!$E$6+Parametros!$E$7/G272+I272))</f>
        <v/>
      </c>
      <c r="K272" s="2" t="inlineStr">
        <is>
          <t>2026-09-24 15:15</t>
        </is>
      </c>
      <c r="L272" s="7" t="inlineStr">
        <is>
          <t>Patamar baixo de ripple (suspeita DAQ)</t>
        </is>
      </c>
      <c r="M272" s="2">
        <f>IF(L272="Válido","Sim","Não")</f>
        <v/>
      </c>
      <c r="N272" s="2" t="inlineStr">
        <is>
          <t>Ripple x C mediano da config = 539 (esperado ~730 a 80W)</t>
        </is>
      </c>
    </row>
    <row r="273">
      <c r="A273" s="2" t="inlineStr">
        <is>
          <t>0Bracos_R0010_80W_2026-09-24_15_15.csv</t>
        </is>
      </c>
      <c r="B273" s="2" t="inlineStr">
        <is>
          <t>80W_3500RPM_R0010</t>
        </is>
      </c>
      <c r="C273" s="2" t="n">
        <v>80</v>
      </c>
      <c r="D273" s="2" t="n">
        <v>3500</v>
      </c>
      <c r="E273" s="3">
        <f>D273*2/60</f>
        <v/>
      </c>
      <c r="F273" s="2" t="inlineStr">
        <is>
          <t>0010</t>
        </is>
      </c>
      <c r="G273" s="2" t="n">
        <v>0</v>
      </c>
      <c r="H273" s="2">
        <f>INDEX(Parametros!$B$2:$B$9,MATCH(G273,Parametros!$A$2:$A$9,0))</f>
        <v/>
      </c>
      <c r="I273" s="4">
        <f>1/(VALUE(MID(F273,1,1))/Parametros!$E$2+VALUE(MID(F273,2,1))/Parametros!$E$3+VALUE(MID(F273,3,1))/Parametros!$E$4+VALUE(MID(F273,4,1))/Parametros!$E$5)</f>
        <v/>
      </c>
      <c r="J273" s="5">
        <f>IF(G273=0,Parametros!$E$8,Parametros!$E$6+Parametros!$E$6*(Parametros!$E$7/G273+I273)/(Parametros!$E$6+Parametros!$E$7/G273+I273))</f>
        <v/>
      </c>
      <c r="K273" s="2" t="inlineStr">
        <is>
          <t>2026-09-24 15:15</t>
        </is>
      </c>
      <c r="L273" s="7" t="inlineStr">
        <is>
          <t>Patamar baixo de ripple (suspeita DAQ)</t>
        </is>
      </c>
      <c r="M273" s="2">
        <f>IF(L273="Válido","Sim","Não")</f>
        <v/>
      </c>
      <c r="N273" s="2" t="inlineStr">
        <is>
          <t>Ripple x C mediano da config = 539 (esperado ~730 a 80W)</t>
        </is>
      </c>
    </row>
    <row r="274">
      <c r="A274" s="2" t="inlineStr">
        <is>
          <t>7Bracos_R0011_80W_2026-09-24_15_15.csv</t>
        </is>
      </c>
      <c r="B274" s="2" t="inlineStr">
        <is>
          <t>80W_3500RPM_R0011</t>
        </is>
      </c>
      <c r="C274" s="2" t="n">
        <v>80</v>
      </c>
      <c r="D274" s="2" t="n">
        <v>3500</v>
      </c>
      <c r="E274" s="3">
        <f>D274*2/60</f>
        <v/>
      </c>
      <c r="F274" s="2" t="inlineStr">
        <is>
          <t>0011</t>
        </is>
      </c>
      <c r="G274" s="2" t="n">
        <v>7</v>
      </c>
      <c r="H274" s="2">
        <f>INDEX(Parametros!$B$2:$B$9,MATCH(G274,Parametros!$A$2:$A$9,0))</f>
        <v/>
      </c>
      <c r="I274" s="4">
        <f>1/(VALUE(MID(F274,1,1))/Parametros!$E$2+VALUE(MID(F274,2,1))/Parametros!$E$3+VALUE(MID(F274,3,1))/Parametros!$E$4+VALUE(MID(F274,4,1))/Parametros!$E$5)</f>
        <v/>
      </c>
      <c r="J274" s="5">
        <f>IF(G274=0,Parametros!$E$8,Parametros!$E$6+Parametros!$E$6*(Parametros!$E$7/G274+I274)/(Parametros!$E$6+Parametros!$E$7/G274+I274))</f>
        <v/>
      </c>
      <c r="K274" s="2" t="inlineStr">
        <is>
          <t>2026-09-24 15:15</t>
        </is>
      </c>
      <c r="L274" s="7" t="inlineStr">
        <is>
          <t>Patamar baixo de ripple (suspeita DAQ)</t>
        </is>
      </c>
      <c r="M274" s="2">
        <f>IF(L274="Válido","Sim","Não")</f>
        <v/>
      </c>
      <c r="N274" s="2" t="inlineStr">
        <is>
          <t>Ripple x C mediano da config = 591 (esperado ~730 a 80W)</t>
        </is>
      </c>
    </row>
    <row r="275">
      <c r="A275" s="2" t="inlineStr">
        <is>
          <t>6Bracos_R0011_80W_2026-09-24_15_15.csv</t>
        </is>
      </c>
      <c r="B275" s="2" t="inlineStr">
        <is>
          <t>80W_3500RPM_R0011</t>
        </is>
      </c>
      <c r="C275" s="2" t="n">
        <v>80</v>
      </c>
      <c r="D275" s="2" t="n">
        <v>3500</v>
      </c>
      <c r="E275" s="3">
        <f>D275*2/60</f>
        <v/>
      </c>
      <c r="F275" s="2" t="inlineStr">
        <is>
          <t>0011</t>
        </is>
      </c>
      <c r="G275" s="2" t="n">
        <v>6</v>
      </c>
      <c r="H275" s="2">
        <f>INDEX(Parametros!$B$2:$B$9,MATCH(G275,Parametros!$A$2:$A$9,0))</f>
        <v/>
      </c>
      <c r="I275" s="4">
        <f>1/(VALUE(MID(F275,1,1))/Parametros!$E$2+VALUE(MID(F275,2,1))/Parametros!$E$3+VALUE(MID(F275,3,1))/Parametros!$E$4+VALUE(MID(F275,4,1))/Parametros!$E$5)</f>
        <v/>
      </c>
      <c r="J275" s="5">
        <f>IF(G275=0,Parametros!$E$8,Parametros!$E$6+Parametros!$E$6*(Parametros!$E$7/G275+I275)/(Parametros!$E$6+Parametros!$E$7/G275+I275))</f>
        <v/>
      </c>
      <c r="K275" s="2" t="inlineStr">
        <is>
          <t>2026-09-24 15:15</t>
        </is>
      </c>
      <c r="L275" s="7" t="inlineStr">
        <is>
          <t>Patamar baixo de ripple (suspeita DAQ)</t>
        </is>
      </c>
      <c r="M275" s="2">
        <f>IF(L275="Válido","Sim","Não")</f>
        <v/>
      </c>
      <c r="N275" s="2" t="inlineStr">
        <is>
          <t>Ripple x C mediano da config = 591 (esperado ~730 a 80W)</t>
        </is>
      </c>
    </row>
    <row r="276">
      <c r="A276" s="2" t="inlineStr">
        <is>
          <t>5Bracos_R0011_80W_2026-09-24_15_15.csv</t>
        </is>
      </c>
      <c r="B276" s="2" t="inlineStr">
        <is>
          <t>80W_3500RPM_R0011</t>
        </is>
      </c>
      <c r="C276" s="2" t="n">
        <v>80</v>
      </c>
      <c r="D276" s="2" t="n">
        <v>3500</v>
      </c>
      <c r="E276" s="3">
        <f>D276*2/60</f>
        <v/>
      </c>
      <c r="F276" s="2" t="inlineStr">
        <is>
          <t>0011</t>
        </is>
      </c>
      <c r="G276" s="2" t="n">
        <v>5</v>
      </c>
      <c r="H276" s="2">
        <f>INDEX(Parametros!$B$2:$B$9,MATCH(G276,Parametros!$A$2:$A$9,0))</f>
        <v/>
      </c>
      <c r="I276" s="4">
        <f>1/(VALUE(MID(F276,1,1))/Parametros!$E$2+VALUE(MID(F276,2,1))/Parametros!$E$3+VALUE(MID(F276,3,1))/Parametros!$E$4+VALUE(MID(F276,4,1))/Parametros!$E$5)</f>
        <v/>
      </c>
      <c r="J276" s="5">
        <f>IF(G276=0,Parametros!$E$8,Parametros!$E$6+Parametros!$E$6*(Parametros!$E$7/G276+I276)/(Parametros!$E$6+Parametros!$E$7/G276+I276))</f>
        <v/>
      </c>
      <c r="K276" s="2" t="inlineStr">
        <is>
          <t>2026-09-24 15:15</t>
        </is>
      </c>
      <c r="L276" s="7" t="inlineStr">
        <is>
          <t>Patamar baixo de ripple (suspeita DAQ)</t>
        </is>
      </c>
      <c r="M276" s="2">
        <f>IF(L276="Válido","Sim","Não")</f>
        <v/>
      </c>
      <c r="N276" s="2" t="inlineStr">
        <is>
          <t>Ripple x C mediano da config = 591 (esperado ~730 a 80W)</t>
        </is>
      </c>
    </row>
    <row r="277">
      <c r="A277" s="2" t="inlineStr">
        <is>
          <t>4Bracos_R0011_80W_2026-09-24_15_15.csv</t>
        </is>
      </c>
      <c r="B277" s="2" t="inlineStr">
        <is>
          <t>80W_3500RPM_R0011</t>
        </is>
      </c>
      <c r="C277" s="2" t="n">
        <v>80</v>
      </c>
      <c r="D277" s="2" t="n">
        <v>3500</v>
      </c>
      <c r="E277" s="3">
        <f>D277*2/60</f>
        <v/>
      </c>
      <c r="F277" s="2" t="inlineStr">
        <is>
          <t>0011</t>
        </is>
      </c>
      <c r="G277" s="2" t="n">
        <v>4</v>
      </c>
      <c r="H277" s="2">
        <f>INDEX(Parametros!$B$2:$B$9,MATCH(G277,Parametros!$A$2:$A$9,0))</f>
        <v/>
      </c>
      <c r="I277" s="4">
        <f>1/(VALUE(MID(F277,1,1))/Parametros!$E$2+VALUE(MID(F277,2,1))/Parametros!$E$3+VALUE(MID(F277,3,1))/Parametros!$E$4+VALUE(MID(F277,4,1))/Parametros!$E$5)</f>
        <v/>
      </c>
      <c r="J277" s="5">
        <f>IF(G277=0,Parametros!$E$8,Parametros!$E$6+Parametros!$E$6*(Parametros!$E$7/G277+I277)/(Parametros!$E$6+Parametros!$E$7/G277+I277))</f>
        <v/>
      </c>
      <c r="K277" s="2" t="inlineStr">
        <is>
          <t>2026-09-24 15:15</t>
        </is>
      </c>
      <c r="L277" s="7" t="inlineStr">
        <is>
          <t>Patamar baixo de ripple (suspeita DAQ)</t>
        </is>
      </c>
      <c r="M277" s="2">
        <f>IF(L277="Válido","Sim","Não")</f>
        <v/>
      </c>
      <c r="N277" s="2" t="inlineStr">
        <is>
          <t>Ripple x C mediano da config = 591 (esperado ~730 a 80W)</t>
        </is>
      </c>
    </row>
    <row r="278">
      <c r="A278" s="2" t="inlineStr">
        <is>
          <t>3Bracos_R0011_80W_2026-09-24_15_15.csv</t>
        </is>
      </c>
      <c r="B278" s="2" t="inlineStr">
        <is>
          <t>80W_3500RPM_R0011</t>
        </is>
      </c>
      <c r="C278" s="2" t="n">
        <v>80</v>
      </c>
      <c r="D278" s="2" t="n">
        <v>3500</v>
      </c>
      <c r="E278" s="3">
        <f>D278*2/60</f>
        <v/>
      </c>
      <c r="F278" s="2" t="inlineStr">
        <is>
          <t>0011</t>
        </is>
      </c>
      <c r="G278" s="2" t="n">
        <v>3</v>
      </c>
      <c r="H278" s="2">
        <f>INDEX(Parametros!$B$2:$B$9,MATCH(G278,Parametros!$A$2:$A$9,0))</f>
        <v/>
      </c>
      <c r="I278" s="4">
        <f>1/(VALUE(MID(F278,1,1))/Parametros!$E$2+VALUE(MID(F278,2,1))/Parametros!$E$3+VALUE(MID(F278,3,1))/Parametros!$E$4+VALUE(MID(F278,4,1))/Parametros!$E$5)</f>
        <v/>
      </c>
      <c r="J278" s="5">
        <f>IF(G278=0,Parametros!$E$8,Parametros!$E$6+Parametros!$E$6*(Parametros!$E$7/G278+I278)/(Parametros!$E$6+Parametros!$E$7/G278+I278))</f>
        <v/>
      </c>
      <c r="K278" s="2" t="inlineStr">
        <is>
          <t>2026-09-24 15:15</t>
        </is>
      </c>
      <c r="L278" s="7" t="inlineStr">
        <is>
          <t>Patamar baixo de ripple (suspeita DAQ)</t>
        </is>
      </c>
      <c r="M278" s="2">
        <f>IF(L278="Válido","Sim","Não")</f>
        <v/>
      </c>
      <c r="N278" s="2" t="inlineStr">
        <is>
          <t>Ripple x C mediano da config = 591 (esperado ~730 a 80W)</t>
        </is>
      </c>
    </row>
    <row r="279">
      <c r="A279" s="2" t="inlineStr">
        <is>
          <t>2Bracos_R0011_80W_2026-09-24_15_15.csv</t>
        </is>
      </c>
      <c r="B279" s="2" t="inlineStr">
        <is>
          <t>80W_3500RPM_R0011</t>
        </is>
      </c>
      <c r="C279" s="2" t="n">
        <v>80</v>
      </c>
      <c r="D279" s="2" t="n">
        <v>3500</v>
      </c>
      <c r="E279" s="3">
        <f>D279*2/60</f>
        <v/>
      </c>
      <c r="F279" s="2" t="inlineStr">
        <is>
          <t>0011</t>
        </is>
      </c>
      <c r="G279" s="2" t="n">
        <v>2</v>
      </c>
      <c r="H279" s="2">
        <f>INDEX(Parametros!$B$2:$B$9,MATCH(G279,Parametros!$A$2:$A$9,0))</f>
        <v/>
      </c>
      <c r="I279" s="4">
        <f>1/(VALUE(MID(F279,1,1))/Parametros!$E$2+VALUE(MID(F279,2,1))/Parametros!$E$3+VALUE(MID(F279,3,1))/Parametros!$E$4+VALUE(MID(F279,4,1))/Parametros!$E$5)</f>
        <v/>
      </c>
      <c r="J279" s="5">
        <f>IF(G279=0,Parametros!$E$8,Parametros!$E$6+Parametros!$E$6*(Parametros!$E$7/G279+I279)/(Parametros!$E$6+Parametros!$E$7/G279+I279))</f>
        <v/>
      </c>
      <c r="K279" s="2" t="inlineStr">
        <is>
          <t>2026-09-24 15:15</t>
        </is>
      </c>
      <c r="L279" s="7" t="inlineStr">
        <is>
          <t>Patamar baixo de ripple (suspeita DAQ)</t>
        </is>
      </c>
      <c r="M279" s="2">
        <f>IF(L279="Válido","Sim","Não")</f>
        <v/>
      </c>
      <c r="N279" s="2" t="inlineStr">
        <is>
          <t>Ripple x C mediano da config = 591 (esperado ~730 a 80W)</t>
        </is>
      </c>
    </row>
    <row r="280">
      <c r="A280" s="2" t="inlineStr">
        <is>
          <t>1Bracos_R0011_80W_2026-09-24_15_15.csv</t>
        </is>
      </c>
      <c r="B280" s="2" t="inlineStr">
        <is>
          <t>80W_3500RPM_R0011</t>
        </is>
      </c>
      <c r="C280" s="2" t="n">
        <v>80</v>
      </c>
      <c r="D280" s="2" t="n">
        <v>3500</v>
      </c>
      <c r="E280" s="3">
        <f>D280*2/60</f>
        <v/>
      </c>
      <c r="F280" s="2" t="inlineStr">
        <is>
          <t>0011</t>
        </is>
      </c>
      <c r="G280" s="2" t="n">
        <v>1</v>
      </c>
      <c r="H280" s="2">
        <f>INDEX(Parametros!$B$2:$B$9,MATCH(G280,Parametros!$A$2:$A$9,0))</f>
        <v/>
      </c>
      <c r="I280" s="4">
        <f>1/(VALUE(MID(F280,1,1))/Parametros!$E$2+VALUE(MID(F280,2,1))/Parametros!$E$3+VALUE(MID(F280,3,1))/Parametros!$E$4+VALUE(MID(F280,4,1))/Parametros!$E$5)</f>
        <v/>
      </c>
      <c r="J280" s="5">
        <f>IF(G280=0,Parametros!$E$8,Parametros!$E$6+Parametros!$E$6*(Parametros!$E$7/G280+I280)/(Parametros!$E$6+Parametros!$E$7/G280+I280))</f>
        <v/>
      </c>
      <c r="K280" s="2" t="inlineStr">
        <is>
          <t>2026-09-24 15:15</t>
        </is>
      </c>
      <c r="L280" s="7" t="inlineStr">
        <is>
          <t>Patamar baixo de ripple (suspeita DAQ)</t>
        </is>
      </c>
      <c r="M280" s="2">
        <f>IF(L280="Válido","Sim","Não")</f>
        <v/>
      </c>
      <c r="N280" s="2" t="inlineStr">
        <is>
          <t>Ripple x C mediano da config = 591 (esperado ~730 a 80W)</t>
        </is>
      </c>
    </row>
    <row r="281">
      <c r="A281" s="2" t="inlineStr">
        <is>
          <t>0Bracos_R0011_80W_2026-09-24_15_15.csv</t>
        </is>
      </c>
      <c r="B281" s="2" t="inlineStr">
        <is>
          <t>80W_3500RPM_R0011</t>
        </is>
      </c>
      <c r="C281" s="2" t="n">
        <v>80</v>
      </c>
      <c r="D281" s="2" t="n">
        <v>3500</v>
      </c>
      <c r="E281" s="3">
        <f>D281*2/60</f>
        <v/>
      </c>
      <c r="F281" s="2" t="inlineStr">
        <is>
          <t>0011</t>
        </is>
      </c>
      <c r="G281" s="2" t="n">
        <v>0</v>
      </c>
      <c r="H281" s="2">
        <f>INDEX(Parametros!$B$2:$B$9,MATCH(G281,Parametros!$A$2:$A$9,0))</f>
        <v/>
      </c>
      <c r="I281" s="4">
        <f>1/(VALUE(MID(F281,1,1))/Parametros!$E$2+VALUE(MID(F281,2,1))/Parametros!$E$3+VALUE(MID(F281,3,1))/Parametros!$E$4+VALUE(MID(F281,4,1))/Parametros!$E$5)</f>
        <v/>
      </c>
      <c r="J281" s="5">
        <f>IF(G281=0,Parametros!$E$8,Parametros!$E$6+Parametros!$E$6*(Parametros!$E$7/G281+I281)/(Parametros!$E$6+Parametros!$E$7/G281+I281))</f>
        <v/>
      </c>
      <c r="K281" s="2" t="inlineStr">
        <is>
          <t>2026-09-24 15:15</t>
        </is>
      </c>
      <c r="L281" s="7" t="inlineStr">
        <is>
          <t>Patamar baixo de ripple (suspeita DAQ)</t>
        </is>
      </c>
      <c r="M281" s="2">
        <f>IF(L281="Válido","Sim","Não")</f>
        <v/>
      </c>
      <c r="N281" s="2" t="inlineStr">
        <is>
          <t>Ripple x C mediano da config = 591 (esperado ~730 a 80W)</t>
        </is>
      </c>
    </row>
    <row r="282">
      <c r="A282" s="2" t="inlineStr">
        <is>
          <t>7Bracos_R0100_80W_2026-09-24_15_15.csv</t>
        </is>
      </c>
      <c r="B282" s="2" t="inlineStr">
        <is>
          <t>80W_3500RPM_R0100</t>
        </is>
      </c>
      <c r="C282" s="2" t="n">
        <v>80</v>
      </c>
      <c r="D282" s="2" t="n">
        <v>3500</v>
      </c>
      <c r="E282" s="3">
        <f>D282*2/60</f>
        <v/>
      </c>
      <c r="F282" s="2" t="inlineStr">
        <is>
          <t>0100</t>
        </is>
      </c>
      <c r="G282" s="2" t="n">
        <v>7</v>
      </c>
      <c r="H282" s="2">
        <f>INDEX(Parametros!$B$2:$B$9,MATCH(G282,Parametros!$A$2:$A$9,0))</f>
        <v/>
      </c>
      <c r="I282" s="4">
        <f>1/(VALUE(MID(F282,1,1))/Parametros!$E$2+VALUE(MID(F282,2,1))/Parametros!$E$3+VALUE(MID(F282,3,1))/Parametros!$E$4+VALUE(MID(F282,4,1))/Parametros!$E$5)</f>
        <v/>
      </c>
      <c r="J282" s="5">
        <f>IF(G282=0,Parametros!$E$8,Parametros!$E$6+Parametros!$E$6*(Parametros!$E$7/G282+I282)/(Parametros!$E$6+Parametros!$E$7/G282+I282))</f>
        <v/>
      </c>
      <c r="K282" s="2" t="inlineStr">
        <is>
          <t>2026-09-24 15:15</t>
        </is>
      </c>
      <c r="L282" s="6" t="inlineStr">
        <is>
          <t>Válido</t>
        </is>
      </c>
      <c r="M282" s="2">
        <f>IF(L282="Válido","Sim","Não")</f>
        <v/>
      </c>
      <c r="N282" s="2" t="inlineStr"/>
    </row>
    <row r="283">
      <c r="A283" s="2" t="inlineStr">
        <is>
          <t>6Bracos_R0100_80W_2026-09-24_15_15.csv</t>
        </is>
      </c>
      <c r="B283" s="2" t="inlineStr">
        <is>
          <t>80W_3500RPM_R0100</t>
        </is>
      </c>
      <c r="C283" s="2" t="n">
        <v>80</v>
      </c>
      <c r="D283" s="2" t="n">
        <v>3500</v>
      </c>
      <c r="E283" s="3">
        <f>D283*2/60</f>
        <v/>
      </c>
      <c r="F283" s="2" t="inlineStr">
        <is>
          <t>0100</t>
        </is>
      </c>
      <c r="G283" s="2" t="n">
        <v>6</v>
      </c>
      <c r="H283" s="2">
        <f>INDEX(Parametros!$B$2:$B$9,MATCH(G283,Parametros!$A$2:$A$9,0))</f>
        <v/>
      </c>
      <c r="I283" s="4">
        <f>1/(VALUE(MID(F283,1,1))/Parametros!$E$2+VALUE(MID(F283,2,1))/Parametros!$E$3+VALUE(MID(F283,3,1))/Parametros!$E$4+VALUE(MID(F283,4,1))/Parametros!$E$5)</f>
        <v/>
      </c>
      <c r="J283" s="5">
        <f>IF(G283=0,Parametros!$E$8,Parametros!$E$6+Parametros!$E$6*(Parametros!$E$7/G283+I283)/(Parametros!$E$6+Parametros!$E$7/G283+I283))</f>
        <v/>
      </c>
      <c r="K283" s="2" t="inlineStr">
        <is>
          <t>2026-09-24 15:15</t>
        </is>
      </c>
      <c r="L283" s="6" t="inlineStr">
        <is>
          <t>Válido</t>
        </is>
      </c>
      <c r="M283" s="2">
        <f>IF(L283="Válido","Sim","Não")</f>
        <v/>
      </c>
      <c r="N283" s="2" t="inlineStr"/>
    </row>
    <row r="284">
      <c r="A284" s="2" t="inlineStr">
        <is>
          <t>5Bracos_R0100_80W_2026-09-24_15_15.csv</t>
        </is>
      </c>
      <c r="B284" s="2" t="inlineStr">
        <is>
          <t>80W_3500RPM_R0100</t>
        </is>
      </c>
      <c r="C284" s="2" t="n">
        <v>80</v>
      </c>
      <c r="D284" s="2" t="n">
        <v>3500</v>
      </c>
      <c r="E284" s="3">
        <f>D284*2/60</f>
        <v/>
      </c>
      <c r="F284" s="2" t="inlineStr">
        <is>
          <t>0100</t>
        </is>
      </c>
      <c r="G284" s="2" t="n">
        <v>5</v>
      </c>
      <c r="H284" s="2">
        <f>INDEX(Parametros!$B$2:$B$9,MATCH(G284,Parametros!$A$2:$A$9,0))</f>
        <v/>
      </c>
      <c r="I284" s="4">
        <f>1/(VALUE(MID(F284,1,1))/Parametros!$E$2+VALUE(MID(F284,2,1))/Parametros!$E$3+VALUE(MID(F284,3,1))/Parametros!$E$4+VALUE(MID(F284,4,1))/Parametros!$E$5)</f>
        <v/>
      </c>
      <c r="J284" s="5">
        <f>IF(G284=0,Parametros!$E$8,Parametros!$E$6+Parametros!$E$6*(Parametros!$E$7/G284+I284)/(Parametros!$E$6+Parametros!$E$7/G284+I284))</f>
        <v/>
      </c>
      <c r="K284" s="2" t="inlineStr">
        <is>
          <t>2026-09-24 15:15</t>
        </is>
      </c>
      <c r="L284" s="6" t="inlineStr">
        <is>
          <t>Válido</t>
        </is>
      </c>
      <c r="M284" s="2">
        <f>IF(L284="Válido","Sim","Não")</f>
        <v/>
      </c>
      <c r="N284" s="2" t="inlineStr"/>
    </row>
    <row r="285">
      <c r="A285" s="2" t="inlineStr">
        <is>
          <t>4Bracos_R0100_80W_2026-09-24_15_15.csv</t>
        </is>
      </c>
      <c r="B285" s="2" t="inlineStr">
        <is>
          <t>80W_3500RPM_R0100</t>
        </is>
      </c>
      <c r="C285" s="2" t="n">
        <v>80</v>
      </c>
      <c r="D285" s="2" t="n">
        <v>3500</v>
      </c>
      <c r="E285" s="3">
        <f>D285*2/60</f>
        <v/>
      </c>
      <c r="F285" s="2" t="inlineStr">
        <is>
          <t>0100</t>
        </is>
      </c>
      <c r="G285" s="2" t="n">
        <v>4</v>
      </c>
      <c r="H285" s="2">
        <f>INDEX(Parametros!$B$2:$B$9,MATCH(G285,Parametros!$A$2:$A$9,0))</f>
        <v/>
      </c>
      <c r="I285" s="4">
        <f>1/(VALUE(MID(F285,1,1))/Parametros!$E$2+VALUE(MID(F285,2,1))/Parametros!$E$3+VALUE(MID(F285,3,1))/Parametros!$E$4+VALUE(MID(F285,4,1))/Parametros!$E$5)</f>
        <v/>
      </c>
      <c r="J285" s="5">
        <f>IF(G285=0,Parametros!$E$8,Parametros!$E$6+Parametros!$E$6*(Parametros!$E$7/G285+I285)/(Parametros!$E$6+Parametros!$E$7/G285+I285))</f>
        <v/>
      </c>
      <c r="K285" s="2" t="inlineStr">
        <is>
          <t>2026-09-24 15:15</t>
        </is>
      </c>
      <c r="L285" s="6" t="inlineStr">
        <is>
          <t>Válido</t>
        </is>
      </c>
      <c r="M285" s="2">
        <f>IF(L285="Válido","Sim","Não")</f>
        <v/>
      </c>
      <c r="N285" s="2" t="inlineStr"/>
    </row>
    <row r="286">
      <c r="A286" s="2" t="inlineStr">
        <is>
          <t>3Bracos_R0100_80W_2026-09-24_15_15.csv</t>
        </is>
      </c>
      <c r="B286" s="2" t="inlineStr">
        <is>
          <t>80W_3500RPM_R0100</t>
        </is>
      </c>
      <c r="C286" s="2" t="n">
        <v>80</v>
      </c>
      <c r="D286" s="2" t="n">
        <v>3500</v>
      </c>
      <c r="E286" s="3">
        <f>D286*2/60</f>
        <v/>
      </c>
      <c r="F286" s="2" t="inlineStr">
        <is>
          <t>0100</t>
        </is>
      </c>
      <c r="G286" s="2" t="n">
        <v>3</v>
      </c>
      <c r="H286" s="2">
        <f>INDEX(Parametros!$B$2:$B$9,MATCH(G286,Parametros!$A$2:$A$9,0))</f>
        <v/>
      </c>
      <c r="I286" s="4">
        <f>1/(VALUE(MID(F286,1,1))/Parametros!$E$2+VALUE(MID(F286,2,1))/Parametros!$E$3+VALUE(MID(F286,3,1))/Parametros!$E$4+VALUE(MID(F286,4,1))/Parametros!$E$5)</f>
        <v/>
      </c>
      <c r="J286" s="5">
        <f>IF(G286=0,Parametros!$E$8,Parametros!$E$6+Parametros!$E$6*(Parametros!$E$7/G286+I286)/(Parametros!$E$6+Parametros!$E$7/G286+I286))</f>
        <v/>
      </c>
      <c r="K286" s="2" t="inlineStr">
        <is>
          <t>2026-09-24 15:15</t>
        </is>
      </c>
      <c r="L286" s="6" t="inlineStr">
        <is>
          <t>Válido</t>
        </is>
      </c>
      <c r="M286" s="2">
        <f>IF(L286="Válido","Sim","Não")</f>
        <v/>
      </c>
      <c r="N286" s="2" t="inlineStr"/>
    </row>
    <row r="287">
      <c r="A287" s="2" t="inlineStr">
        <is>
          <t>2Bracos_R0100_80W_2026-09-24_15_15.csv</t>
        </is>
      </c>
      <c r="B287" s="2" t="inlineStr">
        <is>
          <t>80W_3500RPM_R0100</t>
        </is>
      </c>
      <c r="C287" s="2" t="n">
        <v>80</v>
      </c>
      <c r="D287" s="2" t="n">
        <v>3500</v>
      </c>
      <c r="E287" s="3">
        <f>D287*2/60</f>
        <v/>
      </c>
      <c r="F287" s="2" t="inlineStr">
        <is>
          <t>0100</t>
        </is>
      </c>
      <c r="G287" s="2" t="n">
        <v>2</v>
      </c>
      <c r="H287" s="2">
        <f>INDEX(Parametros!$B$2:$B$9,MATCH(G287,Parametros!$A$2:$A$9,0))</f>
        <v/>
      </c>
      <c r="I287" s="4">
        <f>1/(VALUE(MID(F287,1,1))/Parametros!$E$2+VALUE(MID(F287,2,1))/Parametros!$E$3+VALUE(MID(F287,3,1))/Parametros!$E$4+VALUE(MID(F287,4,1))/Parametros!$E$5)</f>
        <v/>
      </c>
      <c r="J287" s="5">
        <f>IF(G287=0,Parametros!$E$8,Parametros!$E$6+Parametros!$E$6*(Parametros!$E$7/G287+I287)/(Parametros!$E$6+Parametros!$E$7/G287+I287))</f>
        <v/>
      </c>
      <c r="K287" s="2" t="inlineStr">
        <is>
          <t>2026-09-24 15:15</t>
        </is>
      </c>
      <c r="L287" s="6" t="inlineStr">
        <is>
          <t>Válido</t>
        </is>
      </c>
      <c r="M287" s="2">
        <f>IF(L287="Válido","Sim","Não")</f>
        <v/>
      </c>
      <c r="N287" s="2" t="inlineStr"/>
    </row>
    <row r="288">
      <c r="A288" s="2" t="inlineStr">
        <is>
          <t>1Bracos_R0100_80W_2026-09-24_15_15.csv</t>
        </is>
      </c>
      <c r="B288" s="2" t="inlineStr">
        <is>
          <t>80W_3500RPM_R0100</t>
        </is>
      </c>
      <c r="C288" s="2" t="n">
        <v>80</v>
      </c>
      <c r="D288" s="2" t="n">
        <v>3500</v>
      </c>
      <c r="E288" s="3">
        <f>D288*2/60</f>
        <v/>
      </c>
      <c r="F288" s="2" t="inlineStr">
        <is>
          <t>0100</t>
        </is>
      </c>
      <c r="G288" s="2" t="n">
        <v>1</v>
      </c>
      <c r="H288" s="2">
        <f>INDEX(Parametros!$B$2:$B$9,MATCH(G288,Parametros!$A$2:$A$9,0))</f>
        <v/>
      </c>
      <c r="I288" s="4">
        <f>1/(VALUE(MID(F288,1,1))/Parametros!$E$2+VALUE(MID(F288,2,1))/Parametros!$E$3+VALUE(MID(F288,3,1))/Parametros!$E$4+VALUE(MID(F288,4,1))/Parametros!$E$5)</f>
        <v/>
      </c>
      <c r="J288" s="5">
        <f>IF(G288=0,Parametros!$E$8,Parametros!$E$6+Parametros!$E$6*(Parametros!$E$7/G288+I288)/(Parametros!$E$6+Parametros!$E$7/G288+I288))</f>
        <v/>
      </c>
      <c r="K288" s="2" t="inlineStr">
        <is>
          <t>2026-09-24 15:15</t>
        </is>
      </c>
      <c r="L288" s="6" t="inlineStr">
        <is>
          <t>Válido</t>
        </is>
      </c>
      <c r="M288" s="2">
        <f>IF(L288="Válido","Sim","Não")</f>
        <v/>
      </c>
      <c r="N288" s="2" t="inlineStr"/>
    </row>
    <row r="289">
      <c r="A289" s="2" t="inlineStr">
        <is>
          <t>0Bracos_R0100_80W_2026-09-24_15_15.csv</t>
        </is>
      </c>
      <c r="B289" s="2" t="inlineStr">
        <is>
          <t>80W_3500RPM_R0100</t>
        </is>
      </c>
      <c r="C289" s="2" t="n">
        <v>80</v>
      </c>
      <c r="D289" s="2" t="n">
        <v>3500</v>
      </c>
      <c r="E289" s="3">
        <f>D289*2/60</f>
        <v/>
      </c>
      <c r="F289" s="2" t="inlineStr">
        <is>
          <t>0100</t>
        </is>
      </c>
      <c r="G289" s="2" t="n">
        <v>0</v>
      </c>
      <c r="H289" s="2">
        <f>INDEX(Parametros!$B$2:$B$9,MATCH(G289,Parametros!$A$2:$A$9,0))</f>
        <v/>
      </c>
      <c r="I289" s="4">
        <f>1/(VALUE(MID(F289,1,1))/Parametros!$E$2+VALUE(MID(F289,2,1))/Parametros!$E$3+VALUE(MID(F289,3,1))/Parametros!$E$4+VALUE(MID(F289,4,1))/Parametros!$E$5)</f>
        <v/>
      </c>
      <c r="J289" s="5">
        <f>IF(G289=0,Parametros!$E$8,Parametros!$E$6+Parametros!$E$6*(Parametros!$E$7/G289+I289)/(Parametros!$E$6+Parametros!$E$7/G289+I289))</f>
        <v/>
      </c>
      <c r="K289" s="2" t="inlineStr">
        <is>
          <t>2026-09-24 15:15</t>
        </is>
      </c>
      <c r="L289" s="6" t="inlineStr">
        <is>
          <t>Válido</t>
        </is>
      </c>
      <c r="M289" s="2">
        <f>IF(L289="Válido","Sim","Não")</f>
        <v/>
      </c>
      <c r="N289" s="2" t="inlineStr"/>
    </row>
    <row r="290">
      <c r="A290" s="2" t="inlineStr">
        <is>
          <t>7Bracos_R0101_80W_2026-09-24_15_15.csv</t>
        </is>
      </c>
      <c r="B290" s="2" t="inlineStr">
        <is>
          <t>80W_3500RPM_R0101</t>
        </is>
      </c>
      <c r="C290" s="2" t="n">
        <v>80</v>
      </c>
      <c r="D290" s="2" t="n">
        <v>3500</v>
      </c>
      <c r="E290" s="3">
        <f>D290*2/60</f>
        <v/>
      </c>
      <c r="F290" s="2" t="inlineStr">
        <is>
          <t>0101</t>
        </is>
      </c>
      <c r="G290" s="2" t="n">
        <v>7</v>
      </c>
      <c r="H290" s="2">
        <f>INDEX(Parametros!$B$2:$B$9,MATCH(G290,Parametros!$A$2:$A$9,0))</f>
        <v/>
      </c>
      <c r="I290" s="4">
        <f>1/(VALUE(MID(F290,1,1))/Parametros!$E$2+VALUE(MID(F290,2,1))/Parametros!$E$3+VALUE(MID(F290,3,1))/Parametros!$E$4+VALUE(MID(F290,4,1))/Parametros!$E$5)</f>
        <v/>
      </c>
      <c r="J290" s="5">
        <f>IF(G290=0,Parametros!$E$8,Parametros!$E$6+Parametros!$E$6*(Parametros!$E$7/G290+I290)/(Parametros!$E$6+Parametros!$E$7/G290+I290))</f>
        <v/>
      </c>
      <c r="K290" s="2" t="inlineStr">
        <is>
          <t>2026-09-24 15:15</t>
        </is>
      </c>
      <c r="L290" s="6" t="inlineStr">
        <is>
          <t>Válido</t>
        </is>
      </c>
      <c r="M290" s="2">
        <f>IF(L290="Válido","Sim","Não")</f>
        <v/>
      </c>
      <c r="N290" s="2" t="inlineStr"/>
    </row>
    <row r="291">
      <c r="A291" s="2" t="inlineStr">
        <is>
          <t>6Bracos_R0101_80W_2026-09-24_15_15.csv</t>
        </is>
      </c>
      <c r="B291" s="2" t="inlineStr">
        <is>
          <t>80W_3500RPM_R0101</t>
        </is>
      </c>
      <c r="C291" s="2" t="n">
        <v>80</v>
      </c>
      <c r="D291" s="2" t="n">
        <v>3500</v>
      </c>
      <c r="E291" s="3">
        <f>D291*2/60</f>
        <v/>
      </c>
      <c r="F291" s="2" t="inlineStr">
        <is>
          <t>0101</t>
        </is>
      </c>
      <c r="G291" s="2" t="n">
        <v>6</v>
      </c>
      <c r="H291" s="2">
        <f>INDEX(Parametros!$B$2:$B$9,MATCH(G291,Parametros!$A$2:$A$9,0))</f>
        <v/>
      </c>
      <c r="I291" s="4">
        <f>1/(VALUE(MID(F291,1,1))/Parametros!$E$2+VALUE(MID(F291,2,1))/Parametros!$E$3+VALUE(MID(F291,3,1))/Parametros!$E$4+VALUE(MID(F291,4,1))/Parametros!$E$5)</f>
        <v/>
      </c>
      <c r="J291" s="5">
        <f>IF(G291=0,Parametros!$E$8,Parametros!$E$6+Parametros!$E$6*(Parametros!$E$7/G291+I291)/(Parametros!$E$6+Parametros!$E$7/G291+I291))</f>
        <v/>
      </c>
      <c r="K291" s="2" t="inlineStr">
        <is>
          <t>2026-09-24 15:15</t>
        </is>
      </c>
      <c r="L291" s="6" t="inlineStr">
        <is>
          <t>Válido</t>
        </is>
      </c>
      <c r="M291" s="2">
        <f>IF(L291="Válido","Sim","Não")</f>
        <v/>
      </c>
      <c r="N291" s="2" t="inlineStr"/>
    </row>
    <row r="292">
      <c r="A292" s="2" t="inlineStr">
        <is>
          <t>5Bracos_R0101_80W_2026-09-24_15_15.csv</t>
        </is>
      </c>
      <c r="B292" s="2" t="inlineStr">
        <is>
          <t>80W_3500RPM_R0101</t>
        </is>
      </c>
      <c r="C292" s="2" t="n">
        <v>80</v>
      </c>
      <c r="D292" s="2" t="n">
        <v>3500</v>
      </c>
      <c r="E292" s="3">
        <f>D292*2/60</f>
        <v/>
      </c>
      <c r="F292" s="2" t="inlineStr">
        <is>
          <t>0101</t>
        </is>
      </c>
      <c r="G292" s="2" t="n">
        <v>5</v>
      </c>
      <c r="H292" s="2">
        <f>INDEX(Parametros!$B$2:$B$9,MATCH(G292,Parametros!$A$2:$A$9,0))</f>
        <v/>
      </c>
      <c r="I292" s="4">
        <f>1/(VALUE(MID(F292,1,1))/Parametros!$E$2+VALUE(MID(F292,2,1))/Parametros!$E$3+VALUE(MID(F292,3,1))/Parametros!$E$4+VALUE(MID(F292,4,1))/Parametros!$E$5)</f>
        <v/>
      </c>
      <c r="J292" s="5">
        <f>IF(G292=0,Parametros!$E$8,Parametros!$E$6+Parametros!$E$6*(Parametros!$E$7/G292+I292)/(Parametros!$E$6+Parametros!$E$7/G292+I292))</f>
        <v/>
      </c>
      <c r="K292" s="2" t="inlineStr">
        <is>
          <t>2026-09-24 15:15</t>
        </is>
      </c>
      <c r="L292" s="6" t="inlineStr">
        <is>
          <t>Válido</t>
        </is>
      </c>
      <c r="M292" s="2">
        <f>IF(L292="Válido","Sim","Não")</f>
        <v/>
      </c>
      <c r="N292" s="2" t="inlineStr"/>
    </row>
    <row r="293">
      <c r="A293" s="2" t="inlineStr">
        <is>
          <t>4Bracos_R0101_80W_2026-09-24_15_15.csv</t>
        </is>
      </c>
      <c r="B293" s="2" t="inlineStr">
        <is>
          <t>80W_3500RPM_R0101</t>
        </is>
      </c>
      <c r="C293" s="2" t="n">
        <v>80</v>
      </c>
      <c r="D293" s="2" t="n">
        <v>3500</v>
      </c>
      <c r="E293" s="3">
        <f>D293*2/60</f>
        <v/>
      </c>
      <c r="F293" s="2" t="inlineStr">
        <is>
          <t>0101</t>
        </is>
      </c>
      <c r="G293" s="2" t="n">
        <v>4</v>
      </c>
      <c r="H293" s="2">
        <f>INDEX(Parametros!$B$2:$B$9,MATCH(G293,Parametros!$A$2:$A$9,0))</f>
        <v/>
      </c>
      <c r="I293" s="4">
        <f>1/(VALUE(MID(F293,1,1))/Parametros!$E$2+VALUE(MID(F293,2,1))/Parametros!$E$3+VALUE(MID(F293,3,1))/Parametros!$E$4+VALUE(MID(F293,4,1))/Parametros!$E$5)</f>
        <v/>
      </c>
      <c r="J293" s="5">
        <f>IF(G293=0,Parametros!$E$8,Parametros!$E$6+Parametros!$E$6*(Parametros!$E$7/G293+I293)/(Parametros!$E$6+Parametros!$E$7/G293+I293))</f>
        <v/>
      </c>
      <c r="K293" s="2" t="inlineStr">
        <is>
          <t>2026-09-24 15:15</t>
        </is>
      </c>
      <c r="L293" s="6" t="inlineStr">
        <is>
          <t>Válido</t>
        </is>
      </c>
      <c r="M293" s="2">
        <f>IF(L293="Válido","Sim","Não")</f>
        <v/>
      </c>
      <c r="N293" s="2" t="inlineStr"/>
    </row>
    <row r="294">
      <c r="A294" s="2" t="inlineStr">
        <is>
          <t>3Bracos_R0101_80W_2026-09-24_15_15.csv</t>
        </is>
      </c>
      <c r="B294" s="2" t="inlineStr">
        <is>
          <t>80W_3500RPM_R0101</t>
        </is>
      </c>
      <c r="C294" s="2" t="n">
        <v>80</v>
      </c>
      <c r="D294" s="2" t="n">
        <v>3500</v>
      </c>
      <c r="E294" s="3">
        <f>D294*2/60</f>
        <v/>
      </c>
      <c r="F294" s="2" t="inlineStr">
        <is>
          <t>0101</t>
        </is>
      </c>
      <c r="G294" s="2" t="n">
        <v>3</v>
      </c>
      <c r="H294" s="2">
        <f>INDEX(Parametros!$B$2:$B$9,MATCH(G294,Parametros!$A$2:$A$9,0))</f>
        <v/>
      </c>
      <c r="I294" s="4">
        <f>1/(VALUE(MID(F294,1,1))/Parametros!$E$2+VALUE(MID(F294,2,1))/Parametros!$E$3+VALUE(MID(F294,3,1))/Parametros!$E$4+VALUE(MID(F294,4,1))/Parametros!$E$5)</f>
        <v/>
      </c>
      <c r="J294" s="5">
        <f>IF(G294=0,Parametros!$E$8,Parametros!$E$6+Parametros!$E$6*(Parametros!$E$7/G294+I294)/(Parametros!$E$6+Parametros!$E$7/G294+I294))</f>
        <v/>
      </c>
      <c r="K294" s="2" t="inlineStr">
        <is>
          <t>2026-09-24 15:15</t>
        </is>
      </c>
      <c r="L294" s="6" t="inlineStr">
        <is>
          <t>Válido</t>
        </is>
      </c>
      <c r="M294" s="2">
        <f>IF(L294="Válido","Sim","Não")</f>
        <v/>
      </c>
      <c r="N294" s="2" t="inlineStr"/>
    </row>
    <row r="295">
      <c r="A295" s="2" t="inlineStr">
        <is>
          <t>2Bracos_R0101_80W_2026-09-24_15_15.csv</t>
        </is>
      </c>
      <c r="B295" s="2" t="inlineStr">
        <is>
          <t>80W_3500RPM_R0101</t>
        </is>
      </c>
      <c r="C295" s="2" t="n">
        <v>80</v>
      </c>
      <c r="D295" s="2" t="n">
        <v>3500</v>
      </c>
      <c r="E295" s="3">
        <f>D295*2/60</f>
        <v/>
      </c>
      <c r="F295" s="2" t="inlineStr">
        <is>
          <t>0101</t>
        </is>
      </c>
      <c r="G295" s="2" t="n">
        <v>2</v>
      </c>
      <c r="H295" s="2">
        <f>INDEX(Parametros!$B$2:$B$9,MATCH(G295,Parametros!$A$2:$A$9,0))</f>
        <v/>
      </c>
      <c r="I295" s="4">
        <f>1/(VALUE(MID(F295,1,1))/Parametros!$E$2+VALUE(MID(F295,2,1))/Parametros!$E$3+VALUE(MID(F295,3,1))/Parametros!$E$4+VALUE(MID(F295,4,1))/Parametros!$E$5)</f>
        <v/>
      </c>
      <c r="J295" s="5">
        <f>IF(G295=0,Parametros!$E$8,Parametros!$E$6+Parametros!$E$6*(Parametros!$E$7/G295+I295)/(Parametros!$E$6+Parametros!$E$7/G295+I295))</f>
        <v/>
      </c>
      <c r="K295" s="2" t="inlineStr">
        <is>
          <t>2026-09-24 15:15</t>
        </is>
      </c>
      <c r="L295" s="6" t="inlineStr">
        <is>
          <t>Válido</t>
        </is>
      </c>
      <c r="M295" s="2">
        <f>IF(L295="Válido","Sim","Não")</f>
        <v/>
      </c>
      <c r="N295" s="2" t="inlineStr"/>
    </row>
    <row r="296">
      <c r="A296" s="2" t="inlineStr">
        <is>
          <t>1Bracos_R0101_80W_2026-09-24_15_15.csv</t>
        </is>
      </c>
      <c r="B296" s="2" t="inlineStr">
        <is>
          <t>80W_3500RPM_R0101</t>
        </is>
      </c>
      <c r="C296" s="2" t="n">
        <v>80</v>
      </c>
      <c r="D296" s="2" t="n">
        <v>3500</v>
      </c>
      <c r="E296" s="3">
        <f>D296*2/60</f>
        <v/>
      </c>
      <c r="F296" s="2" t="inlineStr">
        <is>
          <t>0101</t>
        </is>
      </c>
      <c r="G296" s="2" t="n">
        <v>1</v>
      </c>
      <c r="H296" s="2">
        <f>INDEX(Parametros!$B$2:$B$9,MATCH(G296,Parametros!$A$2:$A$9,0))</f>
        <v/>
      </c>
      <c r="I296" s="4">
        <f>1/(VALUE(MID(F296,1,1))/Parametros!$E$2+VALUE(MID(F296,2,1))/Parametros!$E$3+VALUE(MID(F296,3,1))/Parametros!$E$4+VALUE(MID(F296,4,1))/Parametros!$E$5)</f>
        <v/>
      </c>
      <c r="J296" s="5">
        <f>IF(G296=0,Parametros!$E$8,Parametros!$E$6+Parametros!$E$6*(Parametros!$E$7/G296+I296)/(Parametros!$E$6+Parametros!$E$7/G296+I296))</f>
        <v/>
      </c>
      <c r="K296" s="2" t="inlineStr">
        <is>
          <t>2026-09-24 15:15</t>
        </is>
      </c>
      <c r="L296" s="6" t="inlineStr">
        <is>
          <t>Válido</t>
        </is>
      </c>
      <c r="M296" s="2">
        <f>IF(L296="Válido","Sim","Não")</f>
        <v/>
      </c>
      <c r="N296" s="2" t="inlineStr"/>
    </row>
    <row r="297">
      <c r="A297" s="2" t="inlineStr">
        <is>
          <t>0Bracos_R0101_80W_2026-09-24_15_15.csv</t>
        </is>
      </c>
      <c r="B297" s="2" t="inlineStr">
        <is>
          <t>80W_3500RPM_R0101</t>
        </is>
      </c>
      <c r="C297" s="2" t="n">
        <v>80</v>
      </c>
      <c r="D297" s="2" t="n">
        <v>3500</v>
      </c>
      <c r="E297" s="3">
        <f>D297*2/60</f>
        <v/>
      </c>
      <c r="F297" s="2" t="inlineStr">
        <is>
          <t>0101</t>
        </is>
      </c>
      <c r="G297" s="2" t="n">
        <v>0</v>
      </c>
      <c r="H297" s="2">
        <f>INDEX(Parametros!$B$2:$B$9,MATCH(G297,Parametros!$A$2:$A$9,0))</f>
        <v/>
      </c>
      <c r="I297" s="4">
        <f>1/(VALUE(MID(F297,1,1))/Parametros!$E$2+VALUE(MID(F297,2,1))/Parametros!$E$3+VALUE(MID(F297,3,1))/Parametros!$E$4+VALUE(MID(F297,4,1))/Parametros!$E$5)</f>
        <v/>
      </c>
      <c r="J297" s="5">
        <f>IF(G297=0,Parametros!$E$8,Parametros!$E$6+Parametros!$E$6*(Parametros!$E$7/G297+I297)/(Parametros!$E$6+Parametros!$E$7/G297+I297))</f>
        <v/>
      </c>
      <c r="K297" s="2" t="inlineStr">
        <is>
          <t>2026-09-24 15:15</t>
        </is>
      </c>
      <c r="L297" s="6" t="inlineStr">
        <is>
          <t>Válido</t>
        </is>
      </c>
      <c r="M297" s="2">
        <f>IF(L297="Válido","Sim","Não")</f>
        <v/>
      </c>
      <c r="N297" s="2" t="inlineStr"/>
    </row>
    <row r="298">
      <c r="A298" s="2" t="inlineStr">
        <is>
          <t>7Bracos_R0110_80W_2026-09-24_15_15.csv</t>
        </is>
      </c>
      <c r="B298" s="2" t="inlineStr">
        <is>
          <t>80W_3500RPM_R0110</t>
        </is>
      </c>
      <c r="C298" s="2" t="n">
        <v>80</v>
      </c>
      <c r="D298" s="2" t="n">
        <v>3500</v>
      </c>
      <c r="E298" s="3">
        <f>D298*2/60</f>
        <v/>
      </c>
      <c r="F298" s="2" t="inlineStr">
        <is>
          <t>0110</t>
        </is>
      </c>
      <c r="G298" s="2" t="n">
        <v>7</v>
      </c>
      <c r="H298" s="2">
        <f>INDEX(Parametros!$B$2:$B$9,MATCH(G298,Parametros!$A$2:$A$9,0))</f>
        <v/>
      </c>
      <c r="I298" s="4">
        <f>1/(VALUE(MID(F298,1,1))/Parametros!$E$2+VALUE(MID(F298,2,1))/Parametros!$E$3+VALUE(MID(F298,3,1))/Parametros!$E$4+VALUE(MID(F298,4,1))/Parametros!$E$5)</f>
        <v/>
      </c>
      <c r="J298" s="5">
        <f>IF(G298=0,Parametros!$E$8,Parametros!$E$6+Parametros!$E$6*(Parametros!$E$7/G298+I298)/(Parametros!$E$6+Parametros!$E$7/G298+I298))</f>
        <v/>
      </c>
      <c r="K298" s="2" t="inlineStr">
        <is>
          <t>2026-09-24 15:15</t>
        </is>
      </c>
      <c r="L298" s="6" t="inlineStr">
        <is>
          <t>Válido</t>
        </is>
      </c>
      <c r="M298" s="2">
        <f>IF(L298="Válido","Sim","Não")</f>
        <v/>
      </c>
      <c r="N298" s="2" t="inlineStr"/>
    </row>
    <row r="299">
      <c r="A299" s="2" t="inlineStr">
        <is>
          <t>6Bracos_R0110_80W_2026-09-24_15_15.csv</t>
        </is>
      </c>
      <c r="B299" s="2" t="inlineStr">
        <is>
          <t>80W_3500RPM_R0110</t>
        </is>
      </c>
      <c r="C299" s="2" t="n">
        <v>80</v>
      </c>
      <c r="D299" s="2" t="n">
        <v>3500</v>
      </c>
      <c r="E299" s="3">
        <f>D299*2/60</f>
        <v/>
      </c>
      <c r="F299" s="2" t="inlineStr">
        <is>
          <t>0110</t>
        </is>
      </c>
      <c r="G299" s="2" t="n">
        <v>6</v>
      </c>
      <c r="H299" s="2">
        <f>INDEX(Parametros!$B$2:$B$9,MATCH(G299,Parametros!$A$2:$A$9,0))</f>
        <v/>
      </c>
      <c r="I299" s="4">
        <f>1/(VALUE(MID(F299,1,1))/Parametros!$E$2+VALUE(MID(F299,2,1))/Parametros!$E$3+VALUE(MID(F299,3,1))/Parametros!$E$4+VALUE(MID(F299,4,1))/Parametros!$E$5)</f>
        <v/>
      </c>
      <c r="J299" s="5">
        <f>IF(G299=0,Parametros!$E$8,Parametros!$E$6+Parametros!$E$6*(Parametros!$E$7/G299+I299)/(Parametros!$E$6+Parametros!$E$7/G299+I299))</f>
        <v/>
      </c>
      <c r="K299" s="2" t="inlineStr">
        <is>
          <t>2026-09-24 15:15</t>
        </is>
      </c>
      <c r="L299" s="6" t="inlineStr">
        <is>
          <t>Válido</t>
        </is>
      </c>
      <c r="M299" s="2">
        <f>IF(L299="Válido","Sim","Não")</f>
        <v/>
      </c>
      <c r="N299" s="2" t="inlineStr"/>
    </row>
    <row r="300">
      <c r="A300" s="2" t="inlineStr">
        <is>
          <t>5Bracos_R0110_80W_2026-09-24_15_15.csv</t>
        </is>
      </c>
      <c r="B300" s="2" t="inlineStr">
        <is>
          <t>80W_3500RPM_R0110</t>
        </is>
      </c>
      <c r="C300" s="2" t="n">
        <v>80</v>
      </c>
      <c r="D300" s="2" t="n">
        <v>3500</v>
      </c>
      <c r="E300" s="3">
        <f>D300*2/60</f>
        <v/>
      </c>
      <c r="F300" s="2" t="inlineStr">
        <is>
          <t>0110</t>
        </is>
      </c>
      <c r="G300" s="2" t="n">
        <v>5</v>
      </c>
      <c r="H300" s="2">
        <f>INDEX(Parametros!$B$2:$B$9,MATCH(G300,Parametros!$A$2:$A$9,0))</f>
        <v/>
      </c>
      <c r="I300" s="4">
        <f>1/(VALUE(MID(F300,1,1))/Parametros!$E$2+VALUE(MID(F300,2,1))/Parametros!$E$3+VALUE(MID(F300,3,1))/Parametros!$E$4+VALUE(MID(F300,4,1))/Parametros!$E$5)</f>
        <v/>
      </c>
      <c r="J300" s="5">
        <f>IF(G300=0,Parametros!$E$8,Parametros!$E$6+Parametros!$E$6*(Parametros!$E$7/G300+I300)/(Parametros!$E$6+Parametros!$E$7/G300+I300))</f>
        <v/>
      </c>
      <c r="K300" s="2" t="inlineStr">
        <is>
          <t>2026-09-24 15:15</t>
        </is>
      </c>
      <c r="L300" s="6" t="inlineStr">
        <is>
          <t>Válido</t>
        </is>
      </c>
      <c r="M300" s="2">
        <f>IF(L300="Válido","Sim","Não")</f>
        <v/>
      </c>
      <c r="N300" s="2" t="inlineStr"/>
    </row>
    <row r="301">
      <c r="A301" s="2" t="inlineStr">
        <is>
          <t>4Bracos_R0110_80W_2026-09-24_15_15.csv</t>
        </is>
      </c>
      <c r="B301" s="2" t="inlineStr">
        <is>
          <t>80W_3500RPM_R0110</t>
        </is>
      </c>
      <c r="C301" s="2" t="n">
        <v>80</v>
      </c>
      <c r="D301" s="2" t="n">
        <v>3500</v>
      </c>
      <c r="E301" s="3">
        <f>D301*2/60</f>
        <v/>
      </c>
      <c r="F301" s="2" t="inlineStr">
        <is>
          <t>0110</t>
        </is>
      </c>
      <c r="G301" s="2" t="n">
        <v>4</v>
      </c>
      <c r="H301" s="2">
        <f>INDEX(Parametros!$B$2:$B$9,MATCH(G301,Parametros!$A$2:$A$9,0))</f>
        <v/>
      </c>
      <c r="I301" s="4">
        <f>1/(VALUE(MID(F301,1,1))/Parametros!$E$2+VALUE(MID(F301,2,1))/Parametros!$E$3+VALUE(MID(F301,3,1))/Parametros!$E$4+VALUE(MID(F301,4,1))/Parametros!$E$5)</f>
        <v/>
      </c>
      <c r="J301" s="5">
        <f>IF(G301=0,Parametros!$E$8,Parametros!$E$6+Parametros!$E$6*(Parametros!$E$7/G301+I301)/(Parametros!$E$6+Parametros!$E$7/G301+I301))</f>
        <v/>
      </c>
      <c r="K301" s="2" t="inlineStr">
        <is>
          <t>2026-09-24 15:15</t>
        </is>
      </c>
      <c r="L301" s="6" t="inlineStr">
        <is>
          <t>Válido</t>
        </is>
      </c>
      <c r="M301" s="2">
        <f>IF(L301="Válido","Sim","Não")</f>
        <v/>
      </c>
      <c r="N301" s="2" t="inlineStr"/>
    </row>
    <row r="302">
      <c r="A302" s="2" t="inlineStr">
        <is>
          <t>3Bracos_R0110_80W_2026-09-24_15_15.csv</t>
        </is>
      </c>
      <c r="B302" s="2" t="inlineStr">
        <is>
          <t>80W_3500RPM_R0110</t>
        </is>
      </c>
      <c r="C302" s="2" t="n">
        <v>80</v>
      </c>
      <c r="D302" s="2" t="n">
        <v>3500</v>
      </c>
      <c r="E302" s="3">
        <f>D302*2/60</f>
        <v/>
      </c>
      <c r="F302" s="2" t="inlineStr">
        <is>
          <t>0110</t>
        </is>
      </c>
      <c r="G302" s="2" t="n">
        <v>3</v>
      </c>
      <c r="H302" s="2">
        <f>INDEX(Parametros!$B$2:$B$9,MATCH(G302,Parametros!$A$2:$A$9,0))</f>
        <v/>
      </c>
      <c r="I302" s="4">
        <f>1/(VALUE(MID(F302,1,1))/Parametros!$E$2+VALUE(MID(F302,2,1))/Parametros!$E$3+VALUE(MID(F302,3,1))/Parametros!$E$4+VALUE(MID(F302,4,1))/Parametros!$E$5)</f>
        <v/>
      </c>
      <c r="J302" s="5">
        <f>IF(G302=0,Parametros!$E$8,Parametros!$E$6+Parametros!$E$6*(Parametros!$E$7/G302+I302)/(Parametros!$E$6+Parametros!$E$7/G302+I302))</f>
        <v/>
      </c>
      <c r="K302" s="2" t="inlineStr">
        <is>
          <t>2026-09-24 15:15</t>
        </is>
      </c>
      <c r="L302" s="6" t="inlineStr">
        <is>
          <t>Válido</t>
        </is>
      </c>
      <c r="M302" s="2">
        <f>IF(L302="Válido","Sim","Não")</f>
        <v/>
      </c>
      <c r="N302" s="2" t="inlineStr"/>
    </row>
    <row r="303">
      <c r="A303" s="2" t="inlineStr">
        <is>
          <t>2Bracos_R0110_80W_2026-09-24_15_15.csv</t>
        </is>
      </c>
      <c r="B303" s="2" t="inlineStr">
        <is>
          <t>80W_3500RPM_R0110</t>
        </is>
      </c>
      <c r="C303" s="2" t="n">
        <v>80</v>
      </c>
      <c r="D303" s="2" t="n">
        <v>3500</v>
      </c>
      <c r="E303" s="3">
        <f>D303*2/60</f>
        <v/>
      </c>
      <c r="F303" s="2" t="inlineStr">
        <is>
          <t>0110</t>
        </is>
      </c>
      <c r="G303" s="2" t="n">
        <v>2</v>
      </c>
      <c r="H303" s="2">
        <f>INDEX(Parametros!$B$2:$B$9,MATCH(G303,Parametros!$A$2:$A$9,0))</f>
        <v/>
      </c>
      <c r="I303" s="4">
        <f>1/(VALUE(MID(F303,1,1))/Parametros!$E$2+VALUE(MID(F303,2,1))/Parametros!$E$3+VALUE(MID(F303,3,1))/Parametros!$E$4+VALUE(MID(F303,4,1))/Parametros!$E$5)</f>
        <v/>
      </c>
      <c r="J303" s="5">
        <f>IF(G303=0,Parametros!$E$8,Parametros!$E$6+Parametros!$E$6*(Parametros!$E$7/G303+I303)/(Parametros!$E$6+Parametros!$E$7/G303+I303))</f>
        <v/>
      </c>
      <c r="K303" s="2" t="inlineStr">
        <is>
          <t>2026-09-24 15:15</t>
        </is>
      </c>
      <c r="L303" s="6" t="inlineStr">
        <is>
          <t>Válido</t>
        </is>
      </c>
      <c r="M303" s="2">
        <f>IF(L303="Válido","Sim","Não")</f>
        <v/>
      </c>
      <c r="N303" s="2" t="inlineStr"/>
    </row>
    <row r="304">
      <c r="A304" s="2" t="inlineStr">
        <is>
          <t>1Bracos_R0110_80W_2026-09-24_15_15.csv</t>
        </is>
      </c>
      <c r="B304" s="2" t="inlineStr">
        <is>
          <t>80W_3500RPM_R0110</t>
        </is>
      </c>
      <c r="C304" s="2" t="n">
        <v>80</v>
      </c>
      <c r="D304" s="2" t="n">
        <v>3500</v>
      </c>
      <c r="E304" s="3">
        <f>D304*2/60</f>
        <v/>
      </c>
      <c r="F304" s="2" t="inlineStr">
        <is>
          <t>0110</t>
        </is>
      </c>
      <c r="G304" s="2" t="n">
        <v>1</v>
      </c>
      <c r="H304" s="2">
        <f>INDEX(Parametros!$B$2:$B$9,MATCH(G304,Parametros!$A$2:$A$9,0))</f>
        <v/>
      </c>
      <c r="I304" s="4">
        <f>1/(VALUE(MID(F304,1,1))/Parametros!$E$2+VALUE(MID(F304,2,1))/Parametros!$E$3+VALUE(MID(F304,3,1))/Parametros!$E$4+VALUE(MID(F304,4,1))/Parametros!$E$5)</f>
        <v/>
      </c>
      <c r="J304" s="5">
        <f>IF(G304=0,Parametros!$E$8,Parametros!$E$6+Parametros!$E$6*(Parametros!$E$7/G304+I304)/(Parametros!$E$6+Parametros!$E$7/G304+I304))</f>
        <v/>
      </c>
      <c r="K304" s="2" t="inlineStr">
        <is>
          <t>2026-09-24 15:15</t>
        </is>
      </c>
      <c r="L304" s="6" t="inlineStr">
        <is>
          <t>Válido</t>
        </is>
      </c>
      <c r="M304" s="2">
        <f>IF(L304="Válido","Sim","Não")</f>
        <v/>
      </c>
      <c r="N304" s="2" t="inlineStr"/>
    </row>
    <row r="305">
      <c r="A305" s="2" t="inlineStr">
        <is>
          <t>0Bracos_R0110_80W_2026-09-24_15_15.csv</t>
        </is>
      </c>
      <c r="B305" s="2" t="inlineStr">
        <is>
          <t>80W_3500RPM_R0110</t>
        </is>
      </c>
      <c r="C305" s="2" t="n">
        <v>80</v>
      </c>
      <c r="D305" s="2" t="n">
        <v>3500</v>
      </c>
      <c r="E305" s="3">
        <f>D305*2/60</f>
        <v/>
      </c>
      <c r="F305" s="2" t="inlineStr">
        <is>
          <t>0110</t>
        </is>
      </c>
      <c r="G305" s="2" t="n">
        <v>0</v>
      </c>
      <c r="H305" s="2">
        <f>INDEX(Parametros!$B$2:$B$9,MATCH(G305,Parametros!$A$2:$A$9,0))</f>
        <v/>
      </c>
      <c r="I305" s="4">
        <f>1/(VALUE(MID(F305,1,1))/Parametros!$E$2+VALUE(MID(F305,2,1))/Parametros!$E$3+VALUE(MID(F305,3,1))/Parametros!$E$4+VALUE(MID(F305,4,1))/Parametros!$E$5)</f>
        <v/>
      </c>
      <c r="J305" s="5">
        <f>IF(G305=0,Parametros!$E$8,Parametros!$E$6+Parametros!$E$6*(Parametros!$E$7/G305+I305)/(Parametros!$E$6+Parametros!$E$7/G305+I305))</f>
        <v/>
      </c>
      <c r="K305" s="2" t="inlineStr">
        <is>
          <t>2026-09-24 15:15</t>
        </is>
      </c>
      <c r="L305" s="6" t="inlineStr">
        <is>
          <t>Válido</t>
        </is>
      </c>
      <c r="M305" s="2">
        <f>IF(L305="Válido","Sim","Não")</f>
        <v/>
      </c>
      <c r="N305" s="2" t="inlineStr"/>
    </row>
    <row r="306">
      <c r="A306" s="2" t="inlineStr">
        <is>
          <t>7Bracos_R0111_80W_2026-09-24_15_15.csv</t>
        </is>
      </c>
      <c r="B306" s="2" t="inlineStr">
        <is>
          <t>80W_3500RPM_R0111</t>
        </is>
      </c>
      <c r="C306" s="2" t="n">
        <v>80</v>
      </c>
      <c r="D306" s="2" t="n">
        <v>3500</v>
      </c>
      <c r="E306" s="3">
        <f>D306*2/60</f>
        <v/>
      </c>
      <c r="F306" s="2" t="inlineStr">
        <is>
          <t>0111</t>
        </is>
      </c>
      <c r="G306" s="2" t="n">
        <v>7</v>
      </c>
      <c r="H306" s="2">
        <f>INDEX(Parametros!$B$2:$B$9,MATCH(G306,Parametros!$A$2:$A$9,0))</f>
        <v/>
      </c>
      <c r="I306" s="4">
        <f>1/(VALUE(MID(F306,1,1))/Parametros!$E$2+VALUE(MID(F306,2,1))/Parametros!$E$3+VALUE(MID(F306,3,1))/Parametros!$E$4+VALUE(MID(F306,4,1))/Parametros!$E$5)</f>
        <v/>
      </c>
      <c r="J306" s="5">
        <f>IF(G306=0,Parametros!$E$8,Parametros!$E$6+Parametros!$E$6*(Parametros!$E$7/G306+I306)/(Parametros!$E$6+Parametros!$E$7/G306+I306))</f>
        <v/>
      </c>
      <c r="K306" s="2" t="inlineStr">
        <is>
          <t>2026-09-24 15:15</t>
        </is>
      </c>
      <c r="L306" s="6" t="inlineStr">
        <is>
          <t>Válido</t>
        </is>
      </c>
      <c r="M306" s="2">
        <f>IF(L306="Válido","Sim","Não")</f>
        <v/>
      </c>
      <c r="N306" s="2" t="inlineStr"/>
    </row>
    <row r="307">
      <c r="A307" s="2" t="inlineStr">
        <is>
          <t>6Bracos_R0111_80W_2026-09-24_15_15.csv</t>
        </is>
      </c>
      <c r="B307" s="2" t="inlineStr">
        <is>
          <t>80W_3500RPM_R0111</t>
        </is>
      </c>
      <c r="C307" s="2" t="n">
        <v>80</v>
      </c>
      <c r="D307" s="2" t="n">
        <v>3500</v>
      </c>
      <c r="E307" s="3">
        <f>D307*2/60</f>
        <v/>
      </c>
      <c r="F307" s="2" t="inlineStr">
        <is>
          <t>0111</t>
        </is>
      </c>
      <c r="G307" s="2" t="n">
        <v>6</v>
      </c>
      <c r="H307" s="2">
        <f>INDEX(Parametros!$B$2:$B$9,MATCH(G307,Parametros!$A$2:$A$9,0))</f>
        <v/>
      </c>
      <c r="I307" s="4">
        <f>1/(VALUE(MID(F307,1,1))/Parametros!$E$2+VALUE(MID(F307,2,1))/Parametros!$E$3+VALUE(MID(F307,3,1))/Parametros!$E$4+VALUE(MID(F307,4,1))/Parametros!$E$5)</f>
        <v/>
      </c>
      <c r="J307" s="5">
        <f>IF(G307=0,Parametros!$E$8,Parametros!$E$6+Parametros!$E$6*(Parametros!$E$7/G307+I307)/(Parametros!$E$6+Parametros!$E$7/G307+I307))</f>
        <v/>
      </c>
      <c r="K307" s="2" t="inlineStr">
        <is>
          <t>2026-09-24 15:15</t>
        </is>
      </c>
      <c r="L307" s="6" t="inlineStr">
        <is>
          <t>Válido</t>
        </is>
      </c>
      <c r="M307" s="2">
        <f>IF(L307="Válido","Sim","Não")</f>
        <v/>
      </c>
      <c r="N307" s="2" t="inlineStr"/>
    </row>
    <row r="308">
      <c r="A308" s="2" t="inlineStr">
        <is>
          <t>5Bracos_R0111_80W_2026-09-24_15_15.csv</t>
        </is>
      </c>
      <c r="B308" s="2" t="inlineStr">
        <is>
          <t>80W_3500RPM_R0111</t>
        </is>
      </c>
      <c r="C308" s="2" t="n">
        <v>80</v>
      </c>
      <c r="D308" s="2" t="n">
        <v>3500</v>
      </c>
      <c r="E308" s="3">
        <f>D308*2/60</f>
        <v/>
      </c>
      <c r="F308" s="2" t="inlineStr">
        <is>
          <t>0111</t>
        </is>
      </c>
      <c r="G308" s="2" t="n">
        <v>5</v>
      </c>
      <c r="H308" s="2">
        <f>INDEX(Parametros!$B$2:$B$9,MATCH(G308,Parametros!$A$2:$A$9,0))</f>
        <v/>
      </c>
      <c r="I308" s="4">
        <f>1/(VALUE(MID(F308,1,1))/Parametros!$E$2+VALUE(MID(F308,2,1))/Parametros!$E$3+VALUE(MID(F308,3,1))/Parametros!$E$4+VALUE(MID(F308,4,1))/Parametros!$E$5)</f>
        <v/>
      </c>
      <c r="J308" s="5">
        <f>IF(G308=0,Parametros!$E$8,Parametros!$E$6+Parametros!$E$6*(Parametros!$E$7/G308+I308)/(Parametros!$E$6+Parametros!$E$7/G308+I308))</f>
        <v/>
      </c>
      <c r="K308" s="2" t="inlineStr">
        <is>
          <t>2026-09-24 15:15</t>
        </is>
      </c>
      <c r="L308" s="6" t="inlineStr">
        <is>
          <t>Válido</t>
        </is>
      </c>
      <c r="M308" s="2">
        <f>IF(L308="Válido","Sim","Não")</f>
        <v/>
      </c>
      <c r="N308" s="2" t="inlineStr"/>
    </row>
    <row r="309">
      <c r="A309" s="2" t="inlineStr">
        <is>
          <t>4Bracos_R0111_80W_2026-09-24_15_15.csv</t>
        </is>
      </c>
      <c r="B309" s="2" t="inlineStr">
        <is>
          <t>80W_3500RPM_R0111</t>
        </is>
      </c>
      <c r="C309" s="2" t="n">
        <v>80</v>
      </c>
      <c r="D309" s="2" t="n">
        <v>3500</v>
      </c>
      <c r="E309" s="3">
        <f>D309*2/60</f>
        <v/>
      </c>
      <c r="F309" s="2" t="inlineStr">
        <is>
          <t>0111</t>
        </is>
      </c>
      <c r="G309" s="2" t="n">
        <v>4</v>
      </c>
      <c r="H309" s="2">
        <f>INDEX(Parametros!$B$2:$B$9,MATCH(G309,Parametros!$A$2:$A$9,0))</f>
        <v/>
      </c>
      <c r="I309" s="4">
        <f>1/(VALUE(MID(F309,1,1))/Parametros!$E$2+VALUE(MID(F309,2,1))/Parametros!$E$3+VALUE(MID(F309,3,1))/Parametros!$E$4+VALUE(MID(F309,4,1))/Parametros!$E$5)</f>
        <v/>
      </c>
      <c r="J309" s="5">
        <f>IF(G309=0,Parametros!$E$8,Parametros!$E$6+Parametros!$E$6*(Parametros!$E$7/G309+I309)/(Parametros!$E$6+Parametros!$E$7/G309+I309))</f>
        <v/>
      </c>
      <c r="K309" s="2" t="inlineStr">
        <is>
          <t>2026-09-24 15:15</t>
        </is>
      </c>
      <c r="L309" s="6" t="inlineStr">
        <is>
          <t>Válido</t>
        </is>
      </c>
      <c r="M309" s="2">
        <f>IF(L309="Válido","Sim","Não")</f>
        <v/>
      </c>
      <c r="N309" s="2" t="inlineStr"/>
    </row>
    <row r="310">
      <c r="A310" s="2" t="inlineStr">
        <is>
          <t>3Bracos_R0111_80W_2026-09-24_15_15.csv</t>
        </is>
      </c>
      <c r="B310" s="2" t="inlineStr">
        <is>
          <t>80W_3500RPM_R0111</t>
        </is>
      </c>
      <c r="C310" s="2" t="n">
        <v>80</v>
      </c>
      <c r="D310" s="2" t="n">
        <v>3500</v>
      </c>
      <c r="E310" s="3">
        <f>D310*2/60</f>
        <v/>
      </c>
      <c r="F310" s="2" t="inlineStr">
        <is>
          <t>0111</t>
        </is>
      </c>
      <c r="G310" s="2" t="n">
        <v>3</v>
      </c>
      <c r="H310" s="2">
        <f>INDEX(Parametros!$B$2:$B$9,MATCH(G310,Parametros!$A$2:$A$9,0))</f>
        <v/>
      </c>
      <c r="I310" s="4">
        <f>1/(VALUE(MID(F310,1,1))/Parametros!$E$2+VALUE(MID(F310,2,1))/Parametros!$E$3+VALUE(MID(F310,3,1))/Parametros!$E$4+VALUE(MID(F310,4,1))/Parametros!$E$5)</f>
        <v/>
      </c>
      <c r="J310" s="5">
        <f>IF(G310=0,Parametros!$E$8,Parametros!$E$6+Parametros!$E$6*(Parametros!$E$7/G310+I310)/(Parametros!$E$6+Parametros!$E$7/G310+I310))</f>
        <v/>
      </c>
      <c r="K310" s="2" t="inlineStr">
        <is>
          <t>2026-09-24 15:15</t>
        </is>
      </c>
      <c r="L310" s="6" t="inlineStr">
        <is>
          <t>Válido</t>
        </is>
      </c>
      <c r="M310" s="2">
        <f>IF(L310="Válido","Sim","Não")</f>
        <v/>
      </c>
      <c r="N310" s="2" t="inlineStr"/>
    </row>
    <row r="311">
      <c r="A311" s="2" t="inlineStr">
        <is>
          <t>2Bracos_R0111_80W_2026-09-24_15_15.csv</t>
        </is>
      </c>
      <c r="B311" s="2" t="inlineStr">
        <is>
          <t>80W_3500RPM_R0111</t>
        </is>
      </c>
      <c r="C311" s="2" t="n">
        <v>80</v>
      </c>
      <c r="D311" s="2" t="n">
        <v>3500</v>
      </c>
      <c r="E311" s="3">
        <f>D311*2/60</f>
        <v/>
      </c>
      <c r="F311" s="2" t="inlineStr">
        <is>
          <t>0111</t>
        </is>
      </c>
      <c r="G311" s="2" t="n">
        <v>2</v>
      </c>
      <c r="H311" s="2">
        <f>INDEX(Parametros!$B$2:$B$9,MATCH(G311,Parametros!$A$2:$A$9,0))</f>
        <v/>
      </c>
      <c r="I311" s="4">
        <f>1/(VALUE(MID(F311,1,1))/Parametros!$E$2+VALUE(MID(F311,2,1))/Parametros!$E$3+VALUE(MID(F311,3,1))/Parametros!$E$4+VALUE(MID(F311,4,1))/Parametros!$E$5)</f>
        <v/>
      </c>
      <c r="J311" s="5">
        <f>IF(G311=0,Parametros!$E$8,Parametros!$E$6+Parametros!$E$6*(Parametros!$E$7/G311+I311)/(Parametros!$E$6+Parametros!$E$7/G311+I311))</f>
        <v/>
      </c>
      <c r="K311" s="2" t="inlineStr">
        <is>
          <t>2026-09-24 15:15</t>
        </is>
      </c>
      <c r="L311" s="6" t="inlineStr">
        <is>
          <t>Válido</t>
        </is>
      </c>
      <c r="M311" s="2">
        <f>IF(L311="Válido","Sim","Não")</f>
        <v/>
      </c>
      <c r="N311" s="2" t="inlineStr"/>
    </row>
    <row r="312">
      <c r="A312" s="2" t="inlineStr">
        <is>
          <t>1Bracos_R0111_80W_2026-09-24_15_15.csv</t>
        </is>
      </c>
      <c r="B312" s="2" t="inlineStr">
        <is>
          <t>80W_3500RPM_R0111</t>
        </is>
      </c>
      <c r="C312" s="2" t="n">
        <v>80</v>
      </c>
      <c r="D312" s="2" t="n">
        <v>3500</v>
      </c>
      <c r="E312" s="3">
        <f>D312*2/60</f>
        <v/>
      </c>
      <c r="F312" s="2" t="inlineStr">
        <is>
          <t>0111</t>
        </is>
      </c>
      <c r="G312" s="2" t="n">
        <v>1</v>
      </c>
      <c r="H312" s="2">
        <f>INDEX(Parametros!$B$2:$B$9,MATCH(G312,Parametros!$A$2:$A$9,0))</f>
        <v/>
      </c>
      <c r="I312" s="4">
        <f>1/(VALUE(MID(F312,1,1))/Parametros!$E$2+VALUE(MID(F312,2,1))/Parametros!$E$3+VALUE(MID(F312,3,1))/Parametros!$E$4+VALUE(MID(F312,4,1))/Parametros!$E$5)</f>
        <v/>
      </c>
      <c r="J312" s="5">
        <f>IF(G312=0,Parametros!$E$8,Parametros!$E$6+Parametros!$E$6*(Parametros!$E$7/G312+I312)/(Parametros!$E$6+Parametros!$E$7/G312+I312))</f>
        <v/>
      </c>
      <c r="K312" s="2" t="inlineStr">
        <is>
          <t>2026-09-24 15:15</t>
        </is>
      </c>
      <c r="L312" s="6" t="inlineStr">
        <is>
          <t>Válido</t>
        </is>
      </c>
      <c r="M312" s="2">
        <f>IF(L312="Válido","Sim","Não")</f>
        <v/>
      </c>
      <c r="N312" s="2" t="inlineStr"/>
    </row>
    <row r="313">
      <c r="A313" s="2" t="inlineStr">
        <is>
          <t>0Bracos_R0111_80W_2026-09-24_15_15.csv</t>
        </is>
      </c>
      <c r="B313" s="2" t="inlineStr">
        <is>
          <t>80W_3500RPM_R0111</t>
        </is>
      </c>
      <c r="C313" s="2" t="n">
        <v>80</v>
      </c>
      <c r="D313" s="2" t="n">
        <v>3500</v>
      </c>
      <c r="E313" s="3">
        <f>D313*2/60</f>
        <v/>
      </c>
      <c r="F313" s="2" t="inlineStr">
        <is>
          <t>0111</t>
        </is>
      </c>
      <c r="G313" s="2" t="n">
        <v>0</v>
      </c>
      <c r="H313" s="2">
        <f>INDEX(Parametros!$B$2:$B$9,MATCH(G313,Parametros!$A$2:$A$9,0))</f>
        <v/>
      </c>
      <c r="I313" s="4">
        <f>1/(VALUE(MID(F313,1,1))/Parametros!$E$2+VALUE(MID(F313,2,1))/Parametros!$E$3+VALUE(MID(F313,3,1))/Parametros!$E$4+VALUE(MID(F313,4,1))/Parametros!$E$5)</f>
        <v/>
      </c>
      <c r="J313" s="5">
        <f>IF(G313=0,Parametros!$E$8,Parametros!$E$6+Parametros!$E$6*(Parametros!$E$7/G313+I313)/(Parametros!$E$6+Parametros!$E$7/G313+I313))</f>
        <v/>
      </c>
      <c r="K313" s="2" t="inlineStr">
        <is>
          <t>2026-09-24 15:15</t>
        </is>
      </c>
      <c r="L313" s="6" t="inlineStr">
        <is>
          <t>Válido</t>
        </is>
      </c>
      <c r="M313" s="2">
        <f>IF(L313="Válido","Sim","Não")</f>
        <v/>
      </c>
      <c r="N313" s="2" t="inlineStr"/>
    </row>
    <row r="314">
      <c r="A314" s="2" t="inlineStr">
        <is>
          <t>7Bracos_R1000_80W_2026-09-24_15_15.csv</t>
        </is>
      </c>
      <c r="B314" s="2" t="inlineStr">
        <is>
          <t>80W_3500RPM_R1000</t>
        </is>
      </c>
      <c r="C314" s="2" t="n">
        <v>80</v>
      </c>
      <c r="D314" s="2" t="n">
        <v>3500</v>
      </c>
      <c r="E314" s="3">
        <f>D314*2/60</f>
        <v/>
      </c>
      <c r="F314" s="2" t="inlineStr">
        <is>
          <t>1000</t>
        </is>
      </c>
      <c r="G314" s="2" t="n">
        <v>7</v>
      </c>
      <c r="H314" s="2">
        <f>INDEX(Parametros!$B$2:$B$9,MATCH(G314,Parametros!$A$2:$A$9,0))</f>
        <v/>
      </c>
      <c r="I314" s="4">
        <f>1/(VALUE(MID(F314,1,1))/Parametros!$E$2+VALUE(MID(F314,2,1))/Parametros!$E$3+VALUE(MID(F314,3,1))/Parametros!$E$4+VALUE(MID(F314,4,1))/Parametros!$E$5)</f>
        <v/>
      </c>
      <c r="J314" s="5">
        <f>IF(G314=0,Parametros!$E$8,Parametros!$E$6+Parametros!$E$6*(Parametros!$E$7/G314+I314)/(Parametros!$E$6+Parametros!$E$7/G314+I314))</f>
        <v/>
      </c>
      <c r="K314" s="2" t="inlineStr">
        <is>
          <t>2026-09-24 15:15</t>
        </is>
      </c>
      <c r="L314" s="6" t="inlineStr">
        <is>
          <t>Válido</t>
        </is>
      </c>
      <c r="M314" s="2">
        <f>IF(L314="Válido","Sim","Não")</f>
        <v/>
      </c>
      <c r="N314" s="2" t="inlineStr"/>
    </row>
    <row r="315">
      <c r="A315" s="2" t="inlineStr">
        <is>
          <t>6Bracos_R1000_80W_2026-09-24_15_15.csv</t>
        </is>
      </c>
      <c r="B315" s="2" t="inlineStr">
        <is>
          <t>80W_3500RPM_R1000</t>
        </is>
      </c>
      <c r="C315" s="2" t="n">
        <v>80</v>
      </c>
      <c r="D315" s="2" t="n">
        <v>3500</v>
      </c>
      <c r="E315" s="3">
        <f>D315*2/60</f>
        <v/>
      </c>
      <c r="F315" s="2" t="inlineStr">
        <is>
          <t>1000</t>
        </is>
      </c>
      <c r="G315" s="2" t="n">
        <v>6</v>
      </c>
      <c r="H315" s="2">
        <f>INDEX(Parametros!$B$2:$B$9,MATCH(G315,Parametros!$A$2:$A$9,0))</f>
        <v/>
      </c>
      <c r="I315" s="4">
        <f>1/(VALUE(MID(F315,1,1))/Parametros!$E$2+VALUE(MID(F315,2,1))/Parametros!$E$3+VALUE(MID(F315,3,1))/Parametros!$E$4+VALUE(MID(F315,4,1))/Parametros!$E$5)</f>
        <v/>
      </c>
      <c r="J315" s="5">
        <f>IF(G315=0,Parametros!$E$8,Parametros!$E$6+Parametros!$E$6*(Parametros!$E$7/G315+I315)/(Parametros!$E$6+Parametros!$E$7/G315+I315))</f>
        <v/>
      </c>
      <c r="K315" s="2" t="inlineStr">
        <is>
          <t>2026-09-24 15:15</t>
        </is>
      </c>
      <c r="L315" s="6" t="inlineStr">
        <is>
          <t>Válido</t>
        </is>
      </c>
      <c r="M315" s="2">
        <f>IF(L315="Válido","Sim","Não")</f>
        <v/>
      </c>
      <c r="N315" s="2" t="inlineStr"/>
    </row>
    <row r="316">
      <c r="A316" s="2" t="inlineStr">
        <is>
          <t>5Bracos_R1000_80W_2026-09-24_15_15.csv</t>
        </is>
      </c>
      <c r="B316" s="2" t="inlineStr">
        <is>
          <t>80W_3500RPM_R1000</t>
        </is>
      </c>
      <c r="C316" s="2" t="n">
        <v>80</v>
      </c>
      <c r="D316" s="2" t="n">
        <v>3500</v>
      </c>
      <c r="E316" s="3">
        <f>D316*2/60</f>
        <v/>
      </c>
      <c r="F316" s="2" t="inlineStr">
        <is>
          <t>1000</t>
        </is>
      </c>
      <c r="G316" s="2" t="n">
        <v>5</v>
      </c>
      <c r="H316" s="2">
        <f>INDEX(Parametros!$B$2:$B$9,MATCH(G316,Parametros!$A$2:$A$9,0))</f>
        <v/>
      </c>
      <c r="I316" s="4">
        <f>1/(VALUE(MID(F316,1,1))/Parametros!$E$2+VALUE(MID(F316,2,1))/Parametros!$E$3+VALUE(MID(F316,3,1))/Parametros!$E$4+VALUE(MID(F316,4,1))/Parametros!$E$5)</f>
        <v/>
      </c>
      <c r="J316" s="5">
        <f>IF(G316=0,Parametros!$E$8,Parametros!$E$6+Parametros!$E$6*(Parametros!$E$7/G316+I316)/(Parametros!$E$6+Parametros!$E$7/G316+I316))</f>
        <v/>
      </c>
      <c r="K316" s="2" t="inlineStr">
        <is>
          <t>2026-09-24 15:15</t>
        </is>
      </c>
      <c r="L316" s="6" t="inlineStr">
        <is>
          <t>Válido</t>
        </is>
      </c>
      <c r="M316" s="2">
        <f>IF(L316="Válido","Sim","Não")</f>
        <v/>
      </c>
      <c r="N316" s="2" t="inlineStr"/>
    </row>
    <row r="317">
      <c r="A317" s="2" t="inlineStr">
        <is>
          <t>4Bracos_R1000_80W_2026-09-24_15_15.csv</t>
        </is>
      </c>
      <c r="B317" s="2" t="inlineStr">
        <is>
          <t>80W_3500RPM_R1000</t>
        </is>
      </c>
      <c r="C317" s="2" t="n">
        <v>80</v>
      </c>
      <c r="D317" s="2" t="n">
        <v>3500</v>
      </c>
      <c r="E317" s="3">
        <f>D317*2/60</f>
        <v/>
      </c>
      <c r="F317" s="2" t="inlineStr">
        <is>
          <t>1000</t>
        </is>
      </c>
      <c r="G317" s="2" t="n">
        <v>4</v>
      </c>
      <c r="H317" s="2">
        <f>INDEX(Parametros!$B$2:$B$9,MATCH(G317,Parametros!$A$2:$A$9,0))</f>
        <v/>
      </c>
      <c r="I317" s="4">
        <f>1/(VALUE(MID(F317,1,1))/Parametros!$E$2+VALUE(MID(F317,2,1))/Parametros!$E$3+VALUE(MID(F317,3,1))/Parametros!$E$4+VALUE(MID(F317,4,1))/Parametros!$E$5)</f>
        <v/>
      </c>
      <c r="J317" s="5">
        <f>IF(G317=0,Parametros!$E$8,Parametros!$E$6+Parametros!$E$6*(Parametros!$E$7/G317+I317)/(Parametros!$E$6+Parametros!$E$7/G317+I317))</f>
        <v/>
      </c>
      <c r="K317" s="2" t="inlineStr">
        <is>
          <t>2026-09-24 15:15</t>
        </is>
      </c>
      <c r="L317" s="6" t="inlineStr">
        <is>
          <t>Válido</t>
        </is>
      </c>
      <c r="M317" s="2">
        <f>IF(L317="Válido","Sim","Não")</f>
        <v/>
      </c>
      <c r="N317" s="2" t="inlineStr"/>
    </row>
    <row r="318">
      <c r="A318" s="2" t="inlineStr">
        <is>
          <t>3Bracos_R1000_80W_2026-09-24_15_15.csv</t>
        </is>
      </c>
      <c r="B318" s="2" t="inlineStr">
        <is>
          <t>80W_3500RPM_R1000</t>
        </is>
      </c>
      <c r="C318" s="2" t="n">
        <v>80</v>
      </c>
      <c r="D318" s="2" t="n">
        <v>3500</v>
      </c>
      <c r="E318" s="3">
        <f>D318*2/60</f>
        <v/>
      </c>
      <c r="F318" s="2" t="inlineStr">
        <is>
          <t>1000</t>
        </is>
      </c>
      <c r="G318" s="2" t="n">
        <v>3</v>
      </c>
      <c r="H318" s="2">
        <f>INDEX(Parametros!$B$2:$B$9,MATCH(G318,Parametros!$A$2:$A$9,0))</f>
        <v/>
      </c>
      <c r="I318" s="4">
        <f>1/(VALUE(MID(F318,1,1))/Parametros!$E$2+VALUE(MID(F318,2,1))/Parametros!$E$3+VALUE(MID(F318,3,1))/Parametros!$E$4+VALUE(MID(F318,4,1))/Parametros!$E$5)</f>
        <v/>
      </c>
      <c r="J318" s="5">
        <f>IF(G318=0,Parametros!$E$8,Parametros!$E$6+Parametros!$E$6*(Parametros!$E$7/G318+I318)/(Parametros!$E$6+Parametros!$E$7/G318+I318))</f>
        <v/>
      </c>
      <c r="K318" s="2" t="inlineStr">
        <is>
          <t>2026-09-24 15:15</t>
        </is>
      </c>
      <c r="L318" s="6" t="inlineStr">
        <is>
          <t>Válido</t>
        </is>
      </c>
      <c r="M318" s="2">
        <f>IF(L318="Válido","Sim","Não")</f>
        <v/>
      </c>
      <c r="N318" s="2" t="inlineStr"/>
    </row>
    <row r="319">
      <c r="A319" s="2" t="inlineStr">
        <is>
          <t>2Bracos_R1000_80W_2026-09-24_15_15.csv</t>
        </is>
      </c>
      <c r="B319" s="2" t="inlineStr">
        <is>
          <t>80W_3500RPM_R1000</t>
        </is>
      </c>
      <c r="C319" s="2" t="n">
        <v>80</v>
      </c>
      <c r="D319" s="2" t="n">
        <v>3500</v>
      </c>
      <c r="E319" s="3">
        <f>D319*2/60</f>
        <v/>
      </c>
      <c r="F319" s="2" t="inlineStr">
        <is>
          <t>1000</t>
        </is>
      </c>
      <c r="G319" s="2" t="n">
        <v>2</v>
      </c>
      <c r="H319" s="2">
        <f>INDEX(Parametros!$B$2:$B$9,MATCH(G319,Parametros!$A$2:$A$9,0))</f>
        <v/>
      </c>
      <c r="I319" s="4">
        <f>1/(VALUE(MID(F319,1,1))/Parametros!$E$2+VALUE(MID(F319,2,1))/Parametros!$E$3+VALUE(MID(F319,3,1))/Parametros!$E$4+VALUE(MID(F319,4,1))/Parametros!$E$5)</f>
        <v/>
      </c>
      <c r="J319" s="5">
        <f>IF(G319=0,Parametros!$E$8,Parametros!$E$6+Parametros!$E$6*(Parametros!$E$7/G319+I319)/(Parametros!$E$6+Parametros!$E$7/G319+I319))</f>
        <v/>
      </c>
      <c r="K319" s="2" t="inlineStr">
        <is>
          <t>2026-09-24 15:15</t>
        </is>
      </c>
      <c r="L319" s="6" t="inlineStr">
        <is>
          <t>Válido</t>
        </is>
      </c>
      <c r="M319" s="2">
        <f>IF(L319="Válido","Sim","Não")</f>
        <v/>
      </c>
      <c r="N319" s="2" t="inlineStr"/>
    </row>
    <row r="320">
      <c r="A320" s="2" t="inlineStr">
        <is>
          <t>1Bracos_R1000_80W_2026-09-24_15_15.csv</t>
        </is>
      </c>
      <c r="B320" s="2" t="inlineStr">
        <is>
          <t>80W_3500RPM_R1000</t>
        </is>
      </c>
      <c r="C320" s="2" t="n">
        <v>80</v>
      </c>
      <c r="D320" s="2" t="n">
        <v>3500</v>
      </c>
      <c r="E320" s="3">
        <f>D320*2/60</f>
        <v/>
      </c>
      <c r="F320" s="2" t="inlineStr">
        <is>
          <t>1000</t>
        </is>
      </c>
      <c r="G320" s="2" t="n">
        <v>1</v>
      </c>
      <c r="H320" s="2">
        <f>INDEX(Parametros!$B$2:$B$9,MATCH(G320,Parametros!$A$2:$A$9,0))</f>
        <v/>
      </c>
      <c r="I320" s="4">
        <f>1/(VALUE(MID(F320,1,1))/Parametros!$E$2+VALUE(MID(F320,2,1))/Parametros!$E$3+VALUE(MID(F320,3,1))/Parametros!$E$4+VALUE(MID(F320,4,1))/Parametros!$E$5)</f>
        <v/>
      </c>
      <c r="J320" s="5">
        <f>IF(G320=0,Parametros!$E$8,Parametros!$E$6+Parametros!$E$6*(Parametros!$E$7/G320+I320)/(Parametros!$E$6+Parametros!$E$7/G320+I320))</f>
        <v/>
      </c>
      <c r="K320" s="2" t="inlineStr">
        <is>
          <t>2026-09-24 15:15</t>
        </is>
      </c>
      <c r="L320" s="6" t="inlineStr">
        <is>
          <t>Válido</t>
        </is>
      </c>
      <c r="M320" s="2">
        <f>IF(L320="Válido","Sim","Não")</f>
        <v/>
      </c>
      <c r="N320" s="2" t="inlineStr"/>
    </row>
    <row r="321">
      <c r="A321" s="2" t="inlineStr">
        <is>
          <t>0Bracos_R1000_80W_2026-09-24_15_15.csv</t>
        </is>
      </c>
      <c r="B321" s="2" t="inlineStr">
        <is>
          <t>80W_3500RPM_R1000</t>
        </is>
      </c>
      <c r="C321" s="2" t="n">
        <v>80</v>
      </c>
      <c r="D321" s="2" t="n">
        <v>3500</v>
      </c>
      <c r="E321" s="3">
        <f>D321*2/60</f>
        <v/>
      </c>
      <c r="F321" s="2" t="inlineStr">
        <is>
          <t>1000</t>
        </is>
      </c>
      <c r="G321" s="2" t="n">
        <v>0</v>
      </c>
      <c r="H321" s="2">
        <f>INDEX(Parametros!$B$2:$B$9,MATCH(G321,Parametros!$A$2:$A$9,0))</f>
        <v/>
      </c>
      <c r="I321" s="4">
        <f>1/(VALUE(MID(F321,1,1))/Parametros!$E$2+VALUE(MID(F321,2,1))/Parametros!$E$3+VALUE(MID(F321,3,1))/Parametros!$E$4+VALUE(MID(F321,4,1))/Parametros!$E$5)</f>
        <v/>
      </c>
      <c r="J321" s="5">
        <f>IF(G321=0,Parametros!$E$8,Parametros!$E$6+Parametros!$E$6*(Parametros!$E$7/G321+I321)/(Parametros!$E$6+Parametros!$E$7/G321+I321))</f>
        <v/>
      </c>
      <c r="K321" s="2" t="inlineStr">
        <is>
          <t>2026-09-24 15:15</t>
        </is>
      </c>
      <c r="L321" s="6" t="inlineStr">
        <is>
          <t>Válido</t>
        </is>
      </c>
      <c r="M321" s="2">
        <f>IF(L321="Válido","Sim","Não")</f>
        <v/>
      </c>
      <c r="N321" s="2" t="inlineStr"/>
    </row>
    <row r="322">
      <c r="A322" s="2" t="inlineStr">
        <is>
          <t>7Bracos_R1001_80W_2026-09-24_15_15.csv</t>
        </is>
      </c>
      <c r="B322" s="2" t="inlineStr">
        <is>
          <t>80W_3500RPM_R1001</t>
        </is>
      </c>
      <c r="C322" s="2" t="n">
        <v>80</v>
      </c>
      <c r="D322" s="2" t="n">
        <v>3500</v>
      </c>
      <c r="E322" s="3">
        <f>D322*2/60</f>
        <v/>
      </c>
      <c r="F322" s="2" t="inlineStr">
        <is>
          <t>1001</t>
        </is>
      </c>
      <c r="G322" s="2" t="n">
        <v>7</v>
      </c>
      <c r="H322" s="2">
        <f>INDEX(Parametros!$B$2:$B$9,MATCH(G322,Parametros!$A$2:$A$9,0))</f>
        <v/>
      </c>
      <c r="I322" s="4">
        <f>1/(VALUE(MID(F322,1,1))/Parametros!$E$2+VALUE(MID(F322,2,1))/Parametros!$E$3+VALUE(MID(F322,3,1))/Parametros!$E$4+VALUE(MID(F322,4,1))/Parametros!$E$5)</f>
        <v/>
      </c>
      <c r="J322" s="5">
        <f>IF(G322=0,Parametros!$E$8,Parametros!$E$6+Parametros!$E$6*(Parametros!$E$7/G322+I322)/(Parametros!$E$6+Parametros!$E$7/G322+I322))</f>
        <v/>
      </c>
      <c r="K322" s="2" t="inlineStr">
        <is>
          <t>2026-09-24 15:15</t>
        </is>
      </c>
      <c r="L322" s="6" t="inlineStr">
        <is>
          <t>Válido</t>
        </is>
      </c>
      <c r="M322" s="2">
        <f>IF(L322="Válido","Sim","Não")</f>
        <v/>
      </c>
      <c r="N322" s="2" t="inlineStr"/>
    </row>
    <row r="323">
      <c r="A323" s="2" t="inlineStr">
        <is>
          <t>6Bracos_R1001_80W_2026-09-24_15_15.csv</t>
        </is>
      </c>
      <c r="B323" s="2" t="inlineStr">
        <is>
          <t>80W_3500RPM_R1001</t>
        </is>
      </c>
      <c r="C323" s="2" t="n">
        <v>80</v>
      </c>
      <c r="D323" s="2" t="n">
        <v>3500</v>
      </c>
      <c r="E323" s="3">
        <f>D323*2/60</f>
        <v/>
      </c>
      <c r="F323" s="2" t="inlineStr">
        <is>
          <t>1001</t>
        </is>
      </c>
      <c r="G323" s="2" t="n">
        <v>6</v>
      </c>
      <c r="H323" s="2">
        <f>INDEX(Parametros!$B$2:$B$9,MATCH(G323,Parametros!$A$2:$A$9,0))</f>
        <v/>
      </c>
      <c r="I323" s="4">
        <f>1/(VALUE(MID(F323,1,1))/Parametros!$E$2+VALUE(MID(F323,2,1))/Parametros!$E$3+VALUE(MID(F323,3,1))/Parametros!$E$4+VALUE(MID(F323,4,1))/Parametros!$E$5)</f>
        <v/>
      </c>
      <c r="J323" s="5">
        <f>IF(G323=0,Parametros!$E$8,Parametros!$E$6+Parametros!$E$6*(Parametros!$E$7/G323+I323)/(Parametros!$E$6+Parametros!$E$7/G323+I323))</f>
        <v/>
      </c>
      <c r="K323" s="2" t="inlineStr">
        <is>
          <t>2026-09-24 15:15</t>
        </is>
      </c>
      <c r="L323" s="6" t="inlineStr">
        <is>
          <t>Válido</t>
        </is>
      </c>
      <c r="M323" s="2">
        <f>IF(L323="Válido","Sim","Não")</f>
        <v/>
      </c>
      <c r="N323" s="2" t="inlineStr"/>
    </row>
    <row r="324">
      <c r="A324" s="2" t="inlineStr">
        <is>
          <t>5Bracos_R1001_80W_2026-09-24_15_15.csv</t>
        </is>
      </c>
      <c r="B324" s="2" t="inlineStr">
        <is>
          <t>80W_3500RPM_R1001</t>
        </is>
      </c>
      <c r="C324" s="2" t="n">
        <v>80</v>
      </c>
      <c r="D324" s="2" t="n">
        <v>3500</v>
      </c>
      <c r="E324" s="3">
        <f>D324*2/60</f>
        <v/>
      </c>
      <c r="F324" s="2" t="inlineStr">
        <is>
          <t>1001</t>
        </is>
      </c>
      <c r="G324" s="2" t="n">
        <v>5</v>
      </c>
      <c r="H324" s="2">
        <f>INDEX(Parametros!$B$2:$B$9,MATCH(G324,Parametros!$A$2:$A$9,0))</f>
        <v/>
      </c>
      <c r="I324" s="4">
        <f>1/(VALUE(MID(F324,1,1))/Parametros!$E$2+VALUE(MID(F324,2,1))/Parametros!$E$3+VALUE(MID(F324,3,1))/Parametros!$E$4+VALUE(MID(F324,4,1))/Parametros!$E$5)</f>
        <v/>
      </c>
      <c r="J324" s="5">
        <f>IF(G324=0,Parametros!$E$8,Parametros!$E$6+Parametros!$E$6*(Parametros!$E$7/G324+I324)/(Parametros!$E$6+Parametros!$E$7/G324+I324))</f>
        <v/>
      </c>
      <c r="K324" s="2" t="inlineStr">
        <is>
          <t>2026-09-24 15:15</t>
        </is>
      </c>
      <c r="L324" s="6" t="inlineStr">
        <is>
          <t>Válido</t>
        </is>
      </c>
      <c r="M324" s="2">
        <f>IF(L324="Válido","Sim","Não")</f>
        <v/>
      </c>
      <c r="N324" s="2" t="inlineStr"/>
    </row>
    <row r="325">
      <c r="A325" s="2" t="inlineStr">
        <is>
          <t>4Bracos_R1001_80W_2026-09-24_15_15.csv</t>
        </is>
      </c>
      <c r="B325" s="2" t="inlineStr">
        <is>
          <t>80W_3500RPM_R1001</t>
        </is>
      </c>
      <c r="C325" s="2" t="n">
        <v>80</v>
      </c>
      <c r="D325" s="2" t="n">
        <v>3500</v>
      </c>
      <c r="E325" s="3">
        <f>D325*2/60</f>
        <v/>
      </c>
      <c r="F325" s="2" t="inlineStr">
        <is>
          <t>1001</t>
        </is>
      </c>
      <c r="G325" s="2" t="n">
        <v>4</v>
      </c>
      <c r="H325" s="2">
        <f>INDEX(Parametros!$B$2:$B$9,MATCH(G325,Parametros!$A$2:$A$9,0))</f>
        <v/>
      </c>
      <c r="I325" s="4">
        <f>1/(VALUE(MID(F325,1,1))/Parametros!$E$2+VALUE(MID(F325,2,1))/Parametros!$E$3+VALUE(MID(F325,3,1))/Parametros!$E$4+VALUE(MID(F325,4,1))/Parametros!$E$5)</f>
        <v/>
      </c>
      <c r="J325" s="5">
        <f>IF(G325=0,Parametros!$E$8,Parametros!$E$6+Parametros!$E$6*(Parametros!$E$7/G325+I325)/(Parametros!$E$6+Parametros!$E$7/G325+I325))</f>
        <v/>
      </c>
      <c r="K325" s="2" t="inlineStr">
        <is>
          <t>2026-09-24 15:15</t>
        </is>
      </c>
      <c r="L325" s="6" t="inlineStr">
        <is>
          <t>Válido</t>
        </is>
      </c>
      <c r="M325" s="2">
        <f>IF(L325="Válido","Sim","Não")</f>
        <v/>
      </c>
      <c r="N325" s="2" t="inlineStr"/>
    </row>
    <row r="326">
      <c r="A326" s="2" t="inlineStr">
        <is>
          <t>3Bracos_R1001_80W_2026-09-24_15_15.csv</t>
        </is>
      </c>
      <c r="B326" s="2" t="inlineStr">
        <is>
          <t>80W_3500RPM_R1001</t>
        </is>
      </c>
      <c r="C326" s="2" t="n">
        <v>80</v>
      </c>
      <c r="D326" s="2" t="n">
        <v>3500</v>
      </c>
      <c r="E326" s="3">
        <f>D326*2/60</f>
        <v/>
      </c>
      <c r="F326" s="2" t="inlineStr">
        <is>
          <t>1001</t>
        </is>
      </c>
      <c r="G326" s="2" t="n">
        <v>3</v>
      </c>
      <c r="H326" s="2">
        <f>INDEX(Parametros!$B$2:$B$9,MATCH(G326,Parametros!$A$2:$A$9,0))</f>
        <v/>
      </c>
      <c r="I326" s="4">
        <f>1/(VALUE(MID(F326,1,1))/Parametros!$E$2+VALUE(MID(F326,2,1))/Parametros!$E$3+VALUE(MID(F326,3,1))/Parametros!$E$4+VALUE(MID(F326,4,1))/Parametros!$E$5)</f>
        <v/>
      </c>
      <c r="J326" s="5">
        <f>IF(G326=0,Parametros!$E$8,Parametros!$E$6+Parametros!$E$6*(Parametros!$E$7/G326+I326)/(Parametros!$E$6+Parametros!$E$7/G326+I326))</f>
        <v/>
      </c>
      <c r="K326" s="2" t="inlineStr">
        <is>
          <t>2026-09-24 15:15</t>
        </is>
      </c>
      <c r="L326" s="6" t="inlineStr">
        <is>
          <t>Válido</t>
        </is>
      </c>
      <c r="M326" s="2">
        <f>IF(L326="Válido","Sim","Não")</f>
        <v/>
      </c>
      <c r="N326" s="2" t="inlineStr"/>
    </row>
    <row r="327">
      <c r="A327" s="2" t="inlineStr">
        <is>
          <t>2Bracos_R1001_80W_2026-09-24_15_15.csv</t>
        </is>
      </c>
      <c r="B327" s="2" t="inlineStr">
        <is>
          <t>80W_3500RPM_R1001</t>
        </is>
      </c>
      <c r="C327" s="2" t="n">
        <v>80</v>
      </c>
      <c r="D327" s="2" t="n">
        <v>3500</v>
      </c>
      <c r="E327" s="3">
        <f>D327*2/60</f>
        <v/>
      </c>
      <c r="F327" s="2" t="inlineStr">
        <is>
          <t>1001</t>
        </is>
      </c>
      <c r="G327" s="2" t="n">
        <v>2</v>
      </c>
      <c r="H327" s="2">
        <f>INDEX(Parametros!$B$2:$B$9,MATCH(G327,Parametros!$A$2:$A$9,0))</f>
        <v/>
      </c>
      <c r="I327" s="4">
        <f>1/(VALUE(MID(F327,1,1))/Parametros!$E$2+VALUE(MID(F327,2,1))/Parametros!$E$3+VALUE(MID(F327,3,1))/Parametros!$E$4+VALUE(MID(F327,4,1))/Parametros!$E$5)</f>
        <v/>
      </c>
      <c r="J327" s="5">
        <f>IF(G327=0,Parametros!$E$8,Parametros!$E$6+Parametros!$E$6*(Parametros!$E$7/G327+I327)/(Parametros!$E$6+Parametros!$E$7/G327+I327))</f>
        <v/>
      </c>
      <c r="K327" s="2" t="inlineStr">
        <is>
          <t>2026-09-24 15:15</t>
        </is>
      </c>
      <c r="L327" s="6" t="inlineStr">
        <is>
          <t>Válido</t>
        </is>
      </c>
      <c r="M327" s="2">
        <f>IF(L327="Válido","Sim","Não")</f>
        <v/>
      </c>
      <c r="N327" s="2" t="inlineStr"/>
    </row>
    <row r="328">
      <c r="A328" s="2" t="inlineStr">
        <is>
          <t>1Bracos_R1001_80W_2026-09-24_15_15.csv</t>
        </is>
      </c>
      <c r="B328" s="2" t="inlineStr">
        <is>
          <t>80W_3500RPM_R1001</t>
        </is>
      </c>
      <c r="C328" s="2" t="n">
        <v>80</v>
      </c>
      <c r="D328" s="2" t="n">
        <v>3500</v>
      </c>
      <c r="E328" s="3">
        <f>D328*2/60</f>
        <v/>
      </c>
      <c r="F328" s="2" t="inlineStr">
        <is>
          <t>1001</t>
        </is>
      </c>
      <c r="G328" s="2" t="n">
        <v>1</v>
      </c>
      <c r="H328" s="2">
        <f>INDEX(Parametros!$B$2:$B$9,MATCH(G328,Parametros!$A$2:$A$9,0))</f>
        <v/>
      </c>
      <c r="I328" s="4">
        <f>1/(VALUE(MID(F328,1,1))/Parametros!$E$2+VALUE(MID(F328,2,1))/Parametros!$E$3+VALUE(MID(F328,3,1))/Parametros!$E$4+VALUE(MID(F328,4,1))/Parametros!$E$5)</f>
        <v/>
      </c>
      <c r="J328" s="5">
        <f>IF(G328=0,Parametros!$E$8,Parametros!$E$6+Parametros!$E$6*(Parametros!$E$7/G328+I328)/(Parametros!$E$6+Parametros!$E$7/G328+I328))</f>
        <v/>
      </c>
      <c r="K328" s="2" t="inlineStr">
        <is>
          <t>2026-09-24 15:15</t>
        </is>
      </c>
      <c r="L328" s="6" t="inlineStr">
        <is>
          <t>Válido</t>
        </is>
      </c>
      <c r="M328" s="2">
        <f>IF(L328="Válido","Sim","Não")</f>
        <v/>
      </c>
      <c r="N328" s="2" t="inlineStr"/>
    </row>
    <row r="329">
      <c r="A329" s="2" t="inlineStr">
        <is>
          <t>0Bracos_R1001_80W_2026-09-24_15_15.csv</t>
        </is>
      </c>
      <c r="B329" s="2" t="inlineStr">
        <is>
          <t>80W_3500RPM_R1001</t>
        </is>
      </c>
      <c r="C329" s="2" t="n">
        <v>80</v>
      </c>
      <c r="D329" s="2" t="n">
        <v>3500</v>
      </c>
      <c r="E329" s="3">
        <f>D329*2/60</f>
        <v/>
      </c>
      <c r="F329" s="2" t="inlineStr">
        <is>
          <t>1001</t>
        </is>
      </c>
      <c r="G329" s="2" t="n">
        <v>0</v>
      </c>
      <c r="H329" s="2">
        <f>INDEX(Parametros!$B$2:$B$9,MATCH(G329,Parametros!$A$2:$A$9,0))</f>
        <v/>
      </c>
      <c r="I329" s="4">
        <f>1/(VALUE(MID(F329,1,1))/Parametros!$E$2+VALUE(MID(F329,2,1))/Parametros!$E$3+VALUE(MID(F329,3,1))/Parametros!$E$4+VALUE(MID(F329,4,1))/Parametros!$E$5)</f>
        <v/>
      </c>
      <c r="J329" s="5">
        <f>IF(G329=0,Parametros!$E$8,Parametros!$E$6+Parametros!$E$6*(Parametros!$E$7/G329+I329)/(Parametros!$E$6+Parametros!$E$7/G329+I329))</f>
        <v/>
      </c>
      <c r="K329" s="2" t="inlineStr">
        <is>
          <t>2026-09-24 15:15</t>
        </is>
      </c>
      <c r="L329" s="6" t="inlineStr">
        <is>
          <t>Válido</t>
        </is>
      </c>
      <c r="M329" s="2">
        <f>IF(L329="Válido","Sim","Não")</f>
        <v/>
      </c>
      <c r="N329" s="2" t="inlineStr"/>
    </row>
    <row r="330">
      <c r="A330" s="2" t="inlineStr">
        <is>
          <t>7Bracos_R1010_80W_2026-09-24_15_15.csv</t>
        </is>
      </c>
      <c r="B330" s="2" t="inlineStr">
        <is>
          <t>80W_3500RPM_R1010</t>
        </is>
      </c>
      <c r="C330" s="2" t="n">
        <v>80</v>
      </c>
      <c r="D330" s="2" t="n">
        <v>3500</v>
      </c>
      <c r="E330" s="3">
        <f>D330*2/60</f>
        <v/>
      </c>
      <c r="F330" s="2" t="inlineStr">
        <is>
          <t>1010</t>
        </is>
      </c>
      <c r="G330" s="2" t="n">
        <v>7</v>
      </c>
      <c r="H330" s="2">
        <f>INDEX(Parametros!$B$2:$B$9,MATCH(G330,Parametros!$A$2:$A$9,0))</f>
        <v/>
      </c>
      <c r="I330" s="4">
        <f>1/(VALUE(MID(F330,1,1))/Parametros!$E$2+VALUE(MID(F330,2,1))/Parametros!$E$3+VALUE(MID(F330,3,1))/Parametros!$E$4+VALUE(MID(F330,4,1))/Parametros!$E$5)</f>
        <v/>
      </c>
      <c r="J330" s="5">
        <f>IF(G330=0,Parametros!$E$8,Parametros!$E$6+Parametros!$E$6*(Parametros!$E$7/G330+I330)/(Parametros!$E$6+Parametros!$E$7/G330+I330))</f>
        <v/>
      </c>
      <c r="K330" s="2" t="inlineStr">
        <is>
          <t>2026-09-24 15:15</t>
        </is>
      </c>
      <c r="L330" s="6" t="inlineStr">
        <is>
          <t>Válido</t>
        </is>
      </c>
      <c r="M330" s="2">
        <f>IF(L330="Válido","Sim","Não")</f>
        <v/>
      </c>
      <c r="N330" s="2" t="inlineStr"/>
    </row>
    <row r="331">
      <c r="A331" s="2" t="inlineStr">
        <is>
          <t>6Bracos_R1010_80W_2026-09-24_15_15.csv</t>
        </is>
      </c>
      <c r="B331" s="2" t="inlineStr">
        <is>
          <t>80W_3500RPM_R1010</t>
        </is>
      </c>
      <c r="C331" s="2" t="n">
        <v>80</v>
      </c>
      <c r="D331" s="2" t="n">
        <v>3500</v>
      </c>
      <c r="E331" s="3">
        <f>D331*2/60</f>
        <v/>
      </c>
      <c r="F331" s="2" t="inlineStr">
        <is>
          <t>1010</t>
        </is>
      </c>
      <c r="G331" s="2" t="n">
        <v>6</v>
      </c>
      <c r="H331" s="2">
        <f>INDEX(Parametros!$B$2:$B$9,MATCH(G331,Parametros!$A$2:$A$9,0))</f>
        <v/>
      </c>
      <c r="I331" s="4">
        <f>1/(VALUE(MID(F331,1,1))/Parametros!$E$2+VALUE(MID(F331,2,1))/Parametros!$E$3+VALUE(MID(F331,3,1))/Parametros!$E$4+VALUE(MID(F331,4,1))/Parametros!$E$5)</f>
        <v/>
      </c>
      <c r="J331" s="5">
        <f>IF(G331=0,Parametros!$E$8,Parametros!$E$6+Parametros!$E$6*(Parametros!$E$7/G331+I331)/(Parametros!$E$6+Parametros!$E$7/G331+I331))</f>
        <v/>
      </c>
      <c r="K331" s="2" t="inlineStr">
        <is>
          <t>2026-09-24 15:15</t>
        </is>
      </c>
      <c r="L331" s="6" t="inlineStr">
        <is>
          <t>Válido</t>
        </is>
      </c>
      <c r="M331" s="2">
        <f>IF(L331="Válido","Sim","Não")</f>
        <v/>
      </c>
      <c r="N331" s="2" t="inlineStr"/>
    </row>
    <row r="332">
      <c r="A332" s="2" t="inlineStr">
        <is>
          <t>5Bracos_R1010_80W_2026-09-24_15_15.csv</t>
        </is>
      </c>
      <c r="B332" s="2" t="inlineStr">
        <is>
          <t>80W_3500RPM_R1010</t>
        </is>
      </c>
      <c r="C332" s="2" t="n">
        <v>80</v>
      </c>
      <c r="D332" s="2" t="n">
        <v>3500</v>
      </c>
      <c r="E332" s="3">
        <f>D332*2/60</f>
        <v/>
      </c>
      <c r="F332" s="2" t="inlineStr">
        <is>
          <t>1010</t>
        </is>
      </c>
      <c r="G332" s="2" t="n">
        <v>5</v>
      </c>
      <c r="H332" s="2">
        <f>INDEX(Parametros!$B$2:$B$9,MATCH(G332,Parametros!$A$2:$A$9,0))</f>
        <v/>
      </c>
      <c r="I332" s="4">
        <f>1/(VALUE(MID(F332,1,1))/Parametros!$E$2+VALUE(MID(F332,2,1))/Parametros!$E$3+VALUE(MID(F332,3,1))/Parametros!$E$4+VALUE(MID(F332,4,1))/Parametros!$E$5)</f>
        <v/>
      </c>
      <c r="J332" s="5">
        <f>IF(G332=0,Parametros!$E$8,Parametros!$E$6+Parametros!$E$6*(Parametros!$E$7/G332+I332)/(Parametros!$E$6+Parametros!$E$7/G332+I332))</f>
        <v/>
      </c>
      <c r="K332" s="2" t="inlineStr">
        <is>
          <t>2026-09-24 15:15</t>
        </is>
      </c>
      <c r="L332" s="6" t="inlineStr">
        <is>
          <t>Válido</t>
        </is>
      </c>
      <c r="M332" s="2">
        <f>IF(L332="Válido","Sim","Não")</f>
        <v/>
      </c>
      <c r="N332" s="2" t="inlineStr"/>
    </row>
    <row r="333">
      <c r="A333" s="2" t="inlineStr">
        <is>
          <t>4Bracos_R1010_80W_2026-09-24_15_15.csv</t>
        </is>
      </c>
      <c r="B333" s="2" t="inlineStr">
        <is>
          <t>80W_3500RPM_R1010</t>
        </is>
      </c>
      <c r="C333" s="2" t="n">
        <v>80</v>
      </c>
      <c r="D333" s="2" t="n">
        <v>3500</v>
      </c>
      <c r="E333" s="3">
        <f>D333*2/60</f>
        <v/>
      </c>
      <c r="F333" s="2" t="inlineStr">
        <is>
          <t>1010</t>
        </is>
      </c>
      <c r="G333" s="2" t="n">
        <v>4</v>
      </c>
      <c r="H333" s="2">
        <f>INDEX(Parametros!$B$2:$B$9,MATCH(G333,Parametros!$A$2:$A$9,0))</f>
        <v/>
      </c>
      <c r="I333" s="4">
        <f>1/(VALUE(MID(F333,1,1))/Parametros!$E$2+VALUE(MID(F333,2,1))/Parametros!$E$3+VALUE(MID(F333,3,1))/Parametros!$E$4+VALUE(MID(F333,4,1))/Parametros!$E$5)</f>
        <v/>
      </c>
      <c r="J333" s="5">
        <f>IF(G333=0,Parametros!$E$8,Parametros!$E$6+Parametros!$E$6*(Parametros!$E$7/G333+I333)/(Parametros!$E$6+Parametros!$E$7/G333+I333))</f>
        <v/>
      </c>
      <c r="K333" s="2" t="inlineStr">
        <is>
          <t>2026-09-24 15:15</t>
        </is>
      </c>
      <c r="L333" s="6" t="inlineStr">
        <is>
          <t>Válido</t>
        </is>
      </c>
      <c r="M333" s="2">
        <f>IF(L333="Válido","Sim","Não")</f>
        <v/>
      </c>
      <c r="N333" s="2" t="inlineStr"/>
    </row>
    <row r="334">
      <c r="A334" s="2" t="inlineStr">
        <is>
          <t>3Bracos_R1010_80W_2026-09-24_15_15.csv</t>
        </is>
      </c>
      <c r="B334" s="2" t="inlineStr">
        <is>
          <t>80W_3500RPM_R1010</t>
        </is>
      </c>
      <c r="C334" s="2" t="n">
        <v>80</v>
      </c>
      <c r="D334" s="2" t="n">
        <v>3500</v>
      </c>
      <c r="E334" s="3">
        <f>D334*2/60</f>
        <v/>
      </c>
      <c r="F334" s="2" t="inlineStr">
        <is>
          <t>1010</t>
        </is>
      </c>
      <c r="G334" s="2" t="n">
        <v>3</v>
      </c>
      <c r="H334" s="2">
        <f>INDEX(Parametros!$B$2:$B$9,MATCH(G334,Parametros!$A$2:$A$9,0))</f>
        <v/>
      </c>
      <c r="I334" s="4">
        <f>1/(VALUE(MID(F334,1,1))/Parametros!$E$2+VALUE(MID(F334,2,1))/Parametros!$E$3+VALUE(MID(F334,3,1))/Parametros!$E$4+VALUE(MID(F334,4,1))/Parametros!$E$5)</f>
        <v/>
      </c>
      <c r="J334" s="5">
        <f>IF(G334=0,Parametros!$E$8,Parametros!$E$6+Parametros!$E$6*(Parametros!$E$7/G334+I334)/(Parametros!$E$6+Parametros!$E$7/G334+I334))</f>
        <v/>
      </c>
      <c r="K334" s="2" t="inlineStr">
        <is>
          <t>2026-09-24 15:15</t>
        </is>
      </c>
      <c r="L334" s="6" t="inlineStr">
        <is>
          <t>Válido</t>
        </is>
      </c>
      <c r="M334" s="2">
        <f>IF(L334="Válido","Sim","Não")</f>
        <v/>
      </c>
      <c r="N334" s="2" t="inlineStr"/>
    </row>
    <row r="335">
      <c r="A335" s="2" t="inlineStr">
        <is>
          <t>2Bracos_R1010_80W_2026-09-24_15_15.csv</t>
        </is>
      </c>
      <c r="B335" s="2" t="inlineStr">
        <is>
          <t>80W_3500RPM_R1010</t>
        </is>
      </c>
      <c r="C335" s="2" t="n">
        <v>80</v>
      </c>
      <c r="D335" s="2" t="n">
        <v>3500</v>
      </c>
      <c r="E335" s="3">
        <f>D335*2/60</f>
        <v/>
      </c>
      <c r="F335" s="2" t="inlineStr">
        <is>
          <t>1010</t>
        </is>
      </c>
      <c r="G335" s="2" t="n">
        <v>2</v>
      </c>
      <c r="H335" s="2">
        <f>INDEX(Parametros!$B$2:$B$9,MATCH(G335,Parametros!$A$2:$A$9,0))</f>
        <v/>
      </c>
      <c r="I335" s="4">
        <f>1/(VALUE(MID(F335,1,1))/Parametros!$E$2+VALUE(MID(F335,2,1))/Parametros!$E$3+VALUE(MID(F335,3,1))/Parametros!$E$4+VALUE(MID(F335,4,1))/Parametros!$E$5)</f>
        <v/>
      </c>
      <c r="J335" s="5">
        <f>IF(G335=0,Parametros!$E$8,Parametros!$E$6+Parametros!$E$6*(Parametros!$E$7/G335+I335)/(Parametros!$E$6+Parametros!$E$7/G335+I335))</f>
        <v/>
      </c>
      <c r="K335" s="2" t="inlineStr">
        <is>
          <t>2026-09-24 15:15</t>
        </is>
      </c>
      <c r="L335" s="6" t="inlineStr">
        <is>
          <t>Válido</t>
        </is>
      </c>
      <c r="M335" s="2">
        <f>IF(L335="Válido","Sim","Não")</f>
        <v/>
      </c>
      <c r="N335" s="2" t="inlineStr"/>
    </row>
    <row r="336">
      <c r="A336" s="2" t="inlineStr">
        <is>
          <t>1Bracos_R1010_80W_2026-09-24_15_15.csv</t>
        </is>
      </c>
      <c r="B336" s="2" t="inlineStr">
        <is>
          <t>80W_3500RPM_R1010</t>
        </is>
      </c>
      <c r="C336" s="2" t="n">
        <v>80</v>
      </c>
      <c r="D336" s="2" t="n">
        <v>3500</v>
      </c>
      <c r="E336" s="3">
        <f>D336*2/60</f>
        <v/>
      </c>
      <c r="F336" s="2" t="inlineStr">
        <is>
          <t>1010</t>
        </is>
      </c>
      <c r="G336" s="2" t="n">
        <v>1</v>
      </c>
      <c r="H336" s="2">
        <f>INDEX(Parametros!$B$2:$B$9,MATCH(G336,Parametros!$A$2:$A$9,0))</f>
        <v/>
      </c>
      <c r="I336" s="4">
        <f>1/(VALUE(MID(F336,1,1))/Parametros!$E$2+VALUE(MID(F336,2,1))/Parametros!$E$3+VALUE(MID(F336,3,1))/Parametros!$E$4+VALUE(MID(F336,4,1))/Parametros!$E$5)</f>
        <v/>
      </c>
      <c r="J336" s="5">
        <f>IF(G336=0,Parametros!$E$8,Parametros!$E$6+Parametros!$E$6*(Parametros!$E$7/G336+I336)/(Parametros!$E$6+Parametros!$E$7/G336+I336))</f>
        <v/>
      </c>
      <c r="K336" s="2" t="inlineStr">
        <is>
          <t>2026-09-24 15:15</t>
        </is>
      </c>
      <c r="L336" s="6" t="inlineStr">
        <is>
          <t>Válido</t>
        </is>
      </c>
      <c r="M336" s="2">
        <f>IF(L336="Válido","Sim","Não")</f>
        <v/>
      </c>
      <c r="N336" s="2" t="inlineStr"/>
    </row>
    <row r="337">
      <c r="A337" s="2" t="inlineStr">
        <is>
          <t>0Bracos_R1010_80W_2026-09-24_15_15.csv</t>
        </is>
      </c>
      <c r="B337" s="2" t="inlineStr">
        <is>
          <t>80W_3500RPM_R1010</t>
        </is>
      </c>
      <c r="C337" s="2" t="n">
        <v>80</v>
      </c>
      <c r="D337" s="2" t="n">
        <v>3500</v>
      </c>
      <c r="E337" s="3">
        <f>D337*2/60</f>
        <v/>
      </c>
      <c r="F337" s="2" t="inlineStr">
        <is>
          <t>1010</t>
        </is>
      </c>
      <c r="G337" s="2" t="n">
        <v>0</v>
      </c>
      <c r="H337" s="2">
        <f>INDEX(Parametros!$B$2:$B$9,MATCH(G337,Parametros!$A$2:$A$9,0))</f>
        <v/>
      </c>
      <c r="I337" s="4">
        <f>1/(VALUE(MID(F337,1,1))/Parametros!$E$2+VALUE(MID(F337,2,1))/Parametros!$E$3+VALUE(MID(F337,3,1))/Parametros!$E$4+VALUE(MID(F337,4,1))/Parametros!$E$5)</f>
        <v/>
      </c>
      <c r="J337" s="5">
        <f>IF(G337=0,Parametros!$E$8,Parametros!$E$6+Parametros!$E$6*(Parametros!$E$7/G337+I337)/(Parametros!$E$6+Parametros!$E$7/G337+I337))</f>
        <v/>
      </c>
      <c r="K337" s="2" t="inlineStr">
        <is>
          <t>2026-09-24 15:15</t>
        </is>
      </c>
      <c r="L337" s="6" t="inlineStr">
        <is>
          <t>Válido</t>
        </is>
      </c>
      <c r="M337" s="2">
        <f>IF(L337="Válido","Sim","Não")</f>
        <v/>
      </c>
      <c r="N337" s="2" t="inlineStr"/>
    </row>
    <row r="338">
      <c r="A338" s="2" t="inlineStr">
        <is>
          <t>7Bracos_R1011_80W_2026-09-24_15_15.csv</t>
        </is>
      </c>
      <c r="B338" s="2" t="inlineStr">
        <is>
          <t>80W_3500RPM_R1011</t>
        </is>
      </c>
      <c r="C338" s="2" t="n">
        <v>80</v>
      </c>
      <c r="D338" s="2" t="n">
        <v>3500</v>
      </c>
      <c r="E338" s="3">
        <f>D338*2/60</f>
        <v/>
      </c>
      <c r="F338" s="2" t="inlineStr">
        <is>
          <t>1011</t>
        </is>
      </c>
      <c r="G338" s="2" t="n">
        <v>7</v>
      </c>
      <c r="H338" s="2">
        <f>INDEX(Parametros!$B$2:$B$9,MATCH(G338,Parametros!$A$2:$A$9,0))</f>
        <v/>
      </c>
      <c r="I338" s="4">
        <f>1/(VALUE(MID(F338,1,1))/Parametros!$E$2+VALUE(MID(F338,2,1))/Parametros!$E$3+VALUE(MID(F338,3,1))/Parametros!$E$4+VALUE(MID(F338,4,1))/Parametros!$E$5)</f>
        <v/>
      </c>
      <c r="J338" s="5">
        <f>IF(G338=0,Parametros!$E$8,Parametros!$E$6+Parametros!$E$6*(Parametros!$E$7/G338+I338)/(Parametros!$E$6+Parametros!$E$7/G338+I338))</f>
        <v/>
      </c>
      <c r="K338" s="2" t="inlineStr">
        <is>
          <t>2026-09-24 15:15</t>
        </is>
      </c>
      <c r="L338" s="6" t="inlineStr">
        <is>
          <t>Válido</t>
        </is>
      </c>
      <c r="M338" s="2">
        <f>IF(L338="Válido","Sim","Não")</f>
        <v/>
      </c>
      <c r="N338" s="2" t="inlineStr"/>
    </row>
    <row r="339">
      <c r="A339" s="2" t="inlineStr">
        <is>
          <t>6Bracos_R1011_80W_2026-09-24_15_15.csv</t>
        </is>
      </c>
      <c r="B339" s="2" t="inlineStr">
        <is>
          <t>80W_3500RPM_R1011</t>
        </is>
      </c>
      <c r="C339" s="2" t="n">
        <v>80</v>
      </c>
      <c r="D339" s="2" t="n">
        <v>3500</v>
      </c>
      <c r="E339" s="3">
        <f>D339*2/60</f>
        <v/>
      </c>
      <c r="F339" s="2" t="inlineStr">
        <is>
          <t>1011</t>
        </is>
      </c>
      <c r="G339" s="2" t="n">
        <v>6</v>
      </c>
      <c r="H339" s="2">
        <f>INDEX(Parametros!$B$2:$B$9,MATCH(G339,Parametros!$A$2:$A$9,0))</f>
        <v/>
      </c>
      <c r="I339" s="4">
        <f>1/(VALUE(MID(F339,1,1))/Parametros!$E$2+VALUE(MID(F339,2,1))/Parametros!$E$3+VALUE(MID(F339,3,1))/Parametros!$E$4+VALUE(MID(F339,4,1))/Parametros!$E$5)</f>
        <v/>
      </c>
      <c r="J339" s="5">
        <f>IF(G339=0,Parametros!$E$8,Parametros!$E$6+Parametros!$E$6*(Parametros!$E$7/G339+I339)/(Parametros!$E$6+Parametros!$E$7/G339+I339))</f>
        <v/>
      </c>
      <c r="K339" s="2" t="inlineStr">
        <is>
          <t>2026-09-24 15:15</t>
        </is>
      </c>
      <c r="L339" s="6" t="inlineStr">
        <is>
          <t>Válido</t>
        </is>
      </c>
      <c r="M339" s="2">
        <f>IF(L339="Válido","Sim","Não")</f>
        <v/>
      </c>
      <c r="N339" s="2" t="inlineStr"/>
    </row>
    <row r="340">
      <c r="A340" s="2" t="inlineStr">
        <is>
          <t>5Bracos_R1011_80W_2026-09-24_15_15.csv</t>
        </is>
      </c>
      <c r="B340" s="2" t="inlineStr">
        <is>
          <t>80W_3500RPM_R1011</t>
        </is>
      </c>
      <c r="C340" s="2" t="n">
        <v>80</v>
      </c>
      <c r="D340" s="2" t="n">
        <v>3500</v>
      </c>
      <c r="E340" s="3">
        <f>D340*2/60</f>
        <v/>
      </c>
      <c r="F340" s="2" t="inlineStr">
        <is>
          <t>1011</t>
        </is>
      </c>
      <c r="G340" s="2" t="n">
        <v>5</v>
      </c>
      <c r="H340" s="2">
        <f>INDEX(Parametros!$B$2:$B$9,MATCH(G340,Parametros!$A$2:$A$9,0))</f>
        <v/>
      </c>
      <c r="I340" s="4">
        <f>1/(VALUE(MID(F340,1,1))/Parametros!$E$2+VALUE(MID(F340,2,1))/Parametros!$E$3+VALUE(MID(F340,3,1))/Parametros!$E$4+VALUE(MID(F340,4,1))/Parametros!$E$5)</f>
        <v/>
      </c>
      <c r="J340" s="5">
        <f>IF(G340=0,Parametros!$E$8,Parametros!$E$6+Parametros!$E$6*(Parametros!$E$7/G340+I340)/(Parametros!$E$6+Parametros!$E$7/G340+I340))</f>
        <v/>
      </c>
      <c r="K340" s="2" t="inlineStr">
        <is>
          <t>2026-09-24 15:15</t>
        </is>
      </c>
      <c r="L340" s="6" t="inlineStr">
        <is>
          <t>Válido</t>
        </is>
      </c>
      <c r="M340" s="2">
        <f>IF(L340="Válido","Sim","Não")</f>
        <v/>
      </c>
      <c r="N340" s="2" t="inlineStr"/>
    </row>
    <row r="341">
      <c r="A341" s="2" t="inlineStr">
        <is>
          <t>4Bracos_R1011_80W_2026-09-24_15_15.csv</t>
        </is>
      </c>
      <c r="B341" s="2" t="inlineStr">
        <is>
          <t>80W_3500RPM_R1011</t>
        </is>
      </c>
      <c r="C341" s="2" t="n">
        <v>80</v>
      </c>
      <c r="D341" s="2" t="n">
        <v>3500</v>
      </c>
      <c r="E341" s="3">
        <f>D341*2/60</f>
        <v/>
      </c>
      <c r="F341" s="2" t="inlineStr">
        <is>
          <t>1011</t>
        </is>
      </c>
      <c r="G341" s="2" t="n">
        <v>4</v>
      </c>
      <c r="H341" s="2">
        <f>INDEX(Parametros!$B$2:$B$9,MATCH(G341,Parametros!$A$2:$A$9,0))</f>
        <v/>
      </c>
      <c r="I341" s="4">
        <f>1/(VALUE(MID(F341,1,1))/Parametros!$E$2+VALUE(MID(F341,2,1))/Parametros!$E$3+VALUE(MID(F341,3,1))/Parametros!$E$4+VALUE(MID(F341,4,1))/Parametros!$E$5)</f>
        <v/>
      </c>
      <c r="J341" s="5">
        <f>IF(G341=0,Parametros!$E$8,Parametros!$E$6+Parametros!$E$6*(Parametros!$E$7/G341+I341)/(Parametros!$E$6+Parametros!$E$7/G341+I341))</f>
        <v/>
      </c>
      <c r="K341" s="2" t="inlineStr">
        <is>
          <t>2026-09-24 15:15</t>
        </is>
      </c>
      <c r="L341" s="6" t="inlineStr">
        <is>
          <t>Válido</t>
        </is>
      </c>
      <c r="M341" s="2">
        <f>IF(L341="Válido","Sim","Não")</f>
        <v/>
      </c>
      <c r="N341" s="2" t="inlineStr"/>
    </row>
    <row r="342">
      <c r="A342" s="2" t="inlineStr">
        <is>
          <t>3Bracos_R1011_80W_2026-09-24_15_15.csv</t>
        </is>
      </c>
      <c r="B342" s="2" t="inlineStr">
        <is>
          <t>80W_3500RPM_R1011</t>
        </is>
      </c>
      <c r="C342" s="2" t="n">
        <v>80</v>
      </c>
      <c r="D342" s="2" t="n">
        <v>3500</v>
      </c>
      <c r="E342" s="3">
        <f>D342*2/60</f>
        <v/>
      </c>
      <c r="F342" s="2" t="inlineStr">
        <is>
          <t>1011</t>
        </is>
      </c>
      <c r="G342" s="2" t="n">
        <v>3</v>
      </c>
      <c r="H342" s="2">
        <f>INDEX(Parametros!$B$2:$B$9,MATCH(G342,Parametros!$A$2:$A$9,0))</f>
        <v/>
      </c>
      <c r="I342" s="4">
        <f>1/(VALUE(MID(F342,1,1))/Parametros!$E$2+VALUE(MID(F342,2,1))/Parametros!$E$3+VALUE(MID(F342,3,1))/Parametros!$E$4+VALUE(MID(F342,4,1))/Parametros!$E$5)</f>
        <v/>
      </c>
      <c r="J342" s="5">
        <f>IF(G342=0,Parametros!$E$8,Parametros!$E$6+Parametros!$E$6*(Parametros!$E$7/G342+I342)/(Parametros!$E$6+Parametros!$E$7/G342+I342))</f>
        <v/>
      </c>
      <c r="K342" s="2" t="inlineStr">
        <is>
          <t>2026-09-24 15:15</t>
        </is>
      </c>
      <c r="L342" s="6" t="inlineStr">
        <is>
          <t>Válido</t>
        </is>
      </c>
      <c r="M342" s="2">
        <f>IF(L342="Válido","Sim","Não")</f>
        <v/>
      </c>
      <c r="N342" s="2" t="inlineStr"/>
    </row>
    <row r="343">
      <c r="A343" s="2" t="inlineStr">
        <is>
          <t>2Bracos_R1011_80W_2026-09-24_15_15.csv</t>
        </is>
      </c>
      <c r="B343" s="2" t="inlineStr">
        <is>
          <t>80W_3500RPM_R1011</t>
        </is>
      </c>
      <c r="C343" s="2" t="n">
        <v>80</v>
      </c>
      <c r="D343" s="2" t="n">
        <v>3500</v>
      </c>
      <c r="E343" s="3">
        <f>D343*2/60</f>
        <v/>
      </c>
      <c r="F343" s="2" t="inlineStr">
        <is>
          <t>1011</t>
        </is>
      </c>
      <c r="G343" s="2" t="n">
        <v>2</v>
      </c>
      <c r="H343" s="2">
        <f>INDEX(Parametros!$B$2:$B$9,MATCH(G343,Parametros!$A$2:$A$9,0))</f>
        <v/>
      </c>
      <c r="I343" s="4">
        <f>1/(VALUE(MID(F343,1,1))/Parametros!$E$2+VALUE(MID(F343,2,1))/Parametros!$E$3+VALUE(MID(F343,3,1))/Parametros!$E$4+VALUE(MID(F343,4,1))/Parametros!$E$5)</f>
        <v/>
      </c>
      <c r="J343" s="5">
        <f>IF(G343=0,Parametros!$E$8,Parametros!$E$6+Parametros!$E$6*(Parametros!$E$7/G343+I343)/(Parametros!$E$6+Parametros!$E$7/G343+I343))</f>
        <v/>
      </c>
      <c r="K343" s="2" t="inlineStr">
        <is>
          <t>2026-09-24 15:15</t>
        </is>
      </c>
      <c r="L343" s="6" t="inlineStr">
        <is>
          <t>Válido</t>
        </is>
      </c>
      <c r="M343" s="2">
        <f>IF(L343="Válido","Sim","Não")</f>
        <v/>
      </c>
      <c r="N343" s="2" t="inlineStr"/>
    </row>
    <row r="344">
      <c r="A344" s="2" t="inlineStr">
        <is>
          <t>1Bracos_R1011_80W_2026-09-24_15_15.csv</t>
        </is>
      </c>
      <c r="B344" s="2" t="inlineStr">
        <is>
          <t>80W_3500RPM_R1011</t>
        </is>
      </c>
      <c r="C344" s="2" t="n">
        <v>80</v>
      </c>
      <c r="D344" s="2" t="n">
        <v>3500</v>
      </c>
      <c r="E344" s="3">
        <f>D344*2/60</f>
        <v/>
      </c>
      <c r="F344" s="2" t="inlineStr">
        <is>
          <t>1011</t>
        </is>
      </c>
      <c r="G344" s="2" t="n">
        <v>1</v>
      </c>
      <c r="H344" s="2">
        <f>INDEX(Parametros!$B$2:$B$9,MATCH(G344,Parametros!$A$2:$A$9,0))</f>
        <v/>
      </c>
      <c r="I344" s="4">
        <f>1/(VALUE(MID(F344,1,1))/Parametros!$E$2+VALUE(MID(F344,2,1))/Parametros!$E$3+VALUE(MID(F344,3,1))/Parametros!$E$4+VALUE(MID(F344,4,1))/Parametros!$E$5)</f>
        <v/>
      </c>
      <c r="J344" s="5">
        <f>IF(G344=0,Parametros!$E$8,Parametros!$E$6+Parametros!$E$6*(Parametros!$E$7/G344+I344)/(Parametros!$E$6+Parametros!$E$7/G344+I344))</f>
        <v/>
      </c>
      <c r="K344" s="2" t="inlineStr">
        <is>
          <t>2026-09-24 15:15</t>
        </is>
      </c>
      <c r="L344" s="6" t="inlineStr">
        <is>
          <t>Válido</t>
        </is>
      </c>
      <c r="M344" s="2">
        <f>IF(L344="Válido","Sim","Não")</f>
        <v/>
      </c>
      <c r="N344" s="2" t="inlineStr"/>
    </row>
    <row r="345">
      <c r="A345" s="2" t="inlineStr">
        <is>
          <t>0Bracos_R1011_80W_2026-09-24_15_15.csv</t>
        </is>
      </c>
      <c r="B345" s="2" t="inlineStr">
        <is>
          <t>80W_3500RPM_R1011</t>
        </is>
      </c>
      <c r="C345" s="2" t="n">
        <v>80</v>
      </c>
      <c r="D345" s="2" t="n">
        <v>3500</v>
      </c>
      <c r="E345" s="3">
        <f>D345*2/60</f>
        <v/>
      </c>
      <c r="F345" s="2" t="inlineStr">
        <is>
          <t>1011</t>
        </is>
      </c>
      <c r="G345" s="2" t="n">
        <v>0</v>
      </c>
      <c r="H345" s="2">
        <f>INDEX(Parametros!$B$2:$B$9,MATCH(G345,Parametros!$A$2:$A$9,0))</f>
        <v/>
      </c>
      <c r="I345" s="4">
        <f>1/(VALUE(MID(F345,1,1))/Parametros!$E$2+VALUE(MID(F345,2,1))/Parametros!$E$3+VALUE(MID(F345,3,1))/Parametros!$E$4+VALUE(MID(F345,4,1))/Parametros!$E$5)</f>
        <v/>
      </c>
      <c r="J345" s="5">
        <f>IF(G345=0,Parametros!$E$8,Parametros!$E$6+Parametros!$E$6*(Parametros!$E$7/G345+I345)/(Parametros!$E$6+Parametros!$E$7/G345+I345))</f>
        <v/>
      </c>
      <c r="K345" s="2" t="inlineStr">
        <is>
          <t>2026-09-24 15:15</t>
        </is>
      </c>
      <c r="L345" s="6" t="inlineStr">
        <is>
          <t>Válido</t>
        </is>
      </c>
      <c r="M345" s="2">
        <f>IF(L345="Válido","Sim","Não")</f>
        <v/>
      </c>
      <c r="N345" s="2" t="inlineStr"/>
    </row>
    <row r="346">
      <c r="A346" s="2" t="inlineStr">
        <is>
          <t>7Bracos_R1100_80W_2026-09-24_15_15.csv</t>
        </is>
      </c>
      <c r="B346" s="2" t="inlineStr">
        <is>
          <t>80W_3500RPM_R1100</t>
        </is>
      </c>
      <c r="C346" s="2" t="n">
        <v>80</v>
      </c>
      <c r="D346" s="2" t="n">
        <v>3500</v>
      </c>
      <c r="E346" s="3">
        <f>D346*2/60</f>
        <v/>
      </c>
      <c r="F346" s="2" t="inlineStr">
        <is>
          <t>1100</t>
        </is>
      </c>
      <c r="G346" s="2" t="n">
        <v>7</v>
      </c>
      <c r="H346" s="2">
        <f>INDEX(Parametros!$B$2:$B$9,MATCH(G346,Parametros!$A$2:$A$9,0))</f>
        <v/>
      </c>
      <c r="I346" s="4">
        <f>1/(VALUE(MID(F346,1,1))/Parametros!$E$2+VALUE(MID(F346,2,1))/Parametros!$E$3+VALUE(MID(F346,3,1))/Parametros!$E$4+VALUE(MID(F346,4,1))/Parametros!$E$5)</f>
        <v/>
      </c>
      <c r="J346" s="5">
        <f>IF(G346=0,Parametros!$E$8,Parametros!$E$6+Parametros!$E$6*(Parametros!$E$7/G346+I346)/(Parametros!$E$6+Parametros!$E$7/G346+I346))</f>
        <v/>
      </c>
      <c r="K346" s="2" t="inlineStr">
        <is>
          <t>2026-09-24 15:15</t>
        </is>
      </c>
      <c r="L346" s="6" t="inlineStr">
        <is>
          <t>Válido</t>
        </is>
      </c>
      <c r="M346" s="2">
        <f>IF(L346="Válido","Sim","Não")</f>
        <v/>
      </c>
      <c r="N346" s="2" t="inlineStr"/>
    </row>
    <row r="347">
      <c r="A347" s="2" t="inlineStr">
        <is>
          <t>6Bracos_R1100_80W_2026-09-24_15_15.csv</t>
        </is>
      </c>
      <c r="B347" s="2" t="inlineStr">
        <is>
          <t>80W_3500RPM_R1100</t>
        </is>
      </c>
      <c r="C347" s="2" t="n">
        <v>80</v>
      </c>
      <c r="D347" s="2" t="n">
        <v>3500</v>
      </c>
      <c r="E347" s="3">
        <f>D347*2/60</f>
        <v/>
      </c>
      <c r="F347" s="2" t="inlineStr">
        <is>
          <t>1100</t>
        </is>
      </c>
      <c r="G347" s="2" t="n">
        <v>6</v>
      </c>
      <c r="H347" s="2">
        <f>INDEX(Parametros!$B$2:$B$9,MATCH(G347,Parametros!$A$2:$A$9,0))</f>
        <v/>
      </c>
      <c r="I347" s="4">
        <f>1/(VALUE(MID(F347,1,1))/Parametros!$E$2+VALUE(MID(F347,2,1))/Parametros!$E$3+VALUE(MID(F347,3,1))/Parametros!$E$4+VALUE(MID(F347,4,1))/Parametros!$E$5)</f>
        <v/>
      </c>
      <c r="J347" s="5">
        <f>IF(G347=0,Parametros!$E$8,Parametros!$E$6+Parametros!$E$6*(Parametros!$E$7/G347+I347)/(Parametros!$E$6+Parametros!$E$7/G347+I347))</f>
        <v/>
      </c>
      <c r="K347" s="2" t="inlineStr">
        <is>
          <t>2026-09-24 15:15</t>
        </is>
      </c>
      <c r="L347" s="6" t="inlineStr">
        <is>
          <t>Válido</t>
        </is>
      </c>
      <c r="M347" s="2">
        <f>IF(L347="Válido","Sim","Não")</f>
        <v/>
      </c>
      <c r="N347" s="2" t="inlineStr"/>
    </row>
    <row r="348">
      <c r="A348" s="2" t="inlineStr">
        <is>
          <t>5Bracos_R1100_80W_2026-09-24_15_15.csv</t>
        </is>
      </c>
      <c r="B348" s="2" t="inlineStr">
        <is>
          <t>80W_3500RPM_R1100</t>
        </is>
      </c>
      <c r="C348" s="2" t="n">
        <v>80</v>
      </c>
      <c r="D348" s="2" t="n">
        <v>3500</v>
      </c>
      <c r="E348" s="3">
        <f>D348*2/60</f>
        <v/>
      </c>
      <c r="F348" s="2" t="inlineStr">
        <is>
          <t>1100</t>
        </is>
      </c>
      <c r="G348" s="2" t="n">
        <v>5</v>
      </c>
      <c r="H348" s="2">
        <f>INDEX(Parametros!$B$2:$B$9,MATCH(G348,Parametros!$A$2:$A$9,0))</f>
        <v/>
      </c>
      <c r="I348" s="4">
        <f>1/(VALUE(MID(F348,1,1))/Parametros!$E$2+VALUE(MID(F348,2,1))/Parametros!$E$3+VALUE(MID(F348,3,1))/Parametros!$E$4+VALUE(MID(F348,4,1))/Parametros!$E$5)</f>
        <v/>
      </c>
      <c r="J348" s="5">
        <f>IF(G348=0,Parametros!$E$8,Parametros!$E$6+Parametros!$E$6*(Parametros!$E$7/G348+I348)/(Parametros!$E$6+Parametros!$E$7/G348+I348))</f>
        <v/>
      </c>
      <c r="K348" s="2" t="inlineStr">
        <is>
          <t>2026-09-24 15:15</t>
        </is>
      </c>
      <c r="L348" s="6" t="inlineStr">
        <is>
          <t>Válido</t>
        </is>
      </c>
      <c r="M348" s="2">
        <f>IF(L348="Válido","Sim","Não")</f>
        <v/>
      </c>
      <c r="N348" s="2" t="inlineStr"/>
    </row>
    <row r="349">
      <c r="A349" s="2" t="inlineStr">
        <is>
          <t>4Bracos_R1100_80W_2026-09-24_15_15.csv</t>
        </is>
      </c>
      <c r="B349" s="2" t="inlineStr">
        <is>
          <t>80W_3500RPM_R1100</t>
        </is>
      </c>
      <c r="C349" s="2" t="n">
        <v>80</v>
      </c>
      <c r="D349" s="2" t="n">
        <v>3500</v>
      </c>
      <c r="E349" s="3">
        <f>D349*2/60</f>
        <v/>
      </c>
      <c r="F349" s="2" t="inlineStr">
        <is>
          <t>1100</t>
        </is>
      </c>
      <c r="G349" s="2" t="n">
        <v>4</v>
      </c>
      <c r="H349" s="2">
        <f>INDEX(Parametros!$B$2:$B$9,MATCH(G349,Parametros!$A$2:$A$9,0))</f>
        <v/>
      </c>
      <c r="I349" s="4">
        <f>1/(VALUE(MID(F349,1,1))/Parametros!$E$2+VALUE(MID(F349,2,1))/Parametros!$E$3+VALUE(MID(F349,3,1))/Parametros!$E$4+VALUE(MID(F349,4,1))/Parametros!$E$5)</f>
        <v/>
      </c>
      <c r="J349" s="5">
        <f>IF(G349=0,Parametros!$E$8,Parametros!$E$6+Parametros!$E$6*(Parametros!$E$7/G349+I349)/(Parametros!$E$6+Parametros!$E$7/G349+I349))</f>
        <v/>
      </c>
      <c r="K349" s="2" t="inlineStr">
        <is>
          <t>2026-09-24 15:15</t>
        </is>
      </c>
      <c r="L349" s="6" t="inlineStr">
        <is>
          <t>Válido</t>
        </is>
      </c>
      <c r="M349" s="2">
        <f>IF(L349="Válido","Sim","Não")</f>
        <v/>
      </c>
      <c r="N349" s="2" t="inlineStr"/>
    </row>
    <row r="350">
      <c r="A350" s="2" t="inlineStr">
        <is>
          <t>3Bracos_R1100_80W_2026-09-24_15_15.csv</t>
        </is>
      </c>
      <c r="B350" s="2" t="inlineStr">
        <is>
          <t>80W_3500RPM_R1100</t>
        </is>
      </c>
      <c r="C350" s="2" t="n">
        <v>80</v>
      </c>
      <c r="D350" s="2" t="n">
        <v>3500</v>
      </c>
      <c r="E350" s="3">
        <f>D350*2/60</f>
        <v/>
      </c>
      <c r="F350" s="2" t="inlineStr">
        <is>
          <t>1100</t>
        </is>
      </c>
      <c r="G350" s="2" t="n">
        <v>3</v>
      </c>
      <c r="H350" s="2">
        <f>INDEX(Parametros!$B$2:$B$9,MATCH(G350,Parametros!$A$2:$A$9,0))</f>
        <v/>
      </c>
      <c r="I350" s="4">
        <f>1/(VALUE(MID(F350,1,1))/Parametros!$E$2+VALUE(MID(F350,2,1))/Parametros!$E$3+VALUE(MID(F350,3,1))/Parametros!$E$4+VALUE(MID(F350,4,1))/Parametros!$E$5)</f>
        <v/>
      </c>
      <c r="J350" s="5">
        <f>IF(G350=0,Parametros!$E$8,Parametros!$E$6+Parametros!$E$6*(Parametros!$E$7/G350+I350)/(Parametros!$E$6+Parametros!$E$7/G350+I350))</f>
        <v/>
      </c>
      <c r="K350" s="2" t="inlineStr">
        <is>
          <t>2026-09-24 15:15</t>
        </is>
      </c>
      <c r="L350" s="6" t="inlineStr">
        <is>
          <t>Válido</t>
        </is>
      </c>
      <c r="M350" s="2">
        <f>IF(L350="Válido","Sim","Não")</f>
        <v/>
      </c>
      <c r="N350" s="2" t="inlineStr"/>
    </row>
    <row r="351">
      <c r="A351" s="2" t="inlineStr">
        <is>
          <t>2Bracos_R1100_80W_2026-09-24_15_15.csv</t>
        </is>
      </c>
      <c r="B351" s="2" t="inlineStr">
        <is>
          <t>80W_3500RPM_R1100</t>
        </is>
      </c>
      <c r="C351" s="2" t="n">
        <v>80</v>
      </c>
      <c r="D351" s="2" t="n">
        <v>3500</v>
      </c>
      <c r="E351" s="3">
        <f>D351*2/60</f>
        <v/>
      </c>
      <c r="F351" s="2" t="inlineStr">
        <is>
          <t>1100</t>
        </is>
      </c>
      <c r="G351" s="2" t="n">
        <v>2</v>
      </c>
      <c r="H351" s="2">
        <f>INDEX(Parametros!$B$2:$B$9,MATCH(G351,Parametros!$A$2:$A$9,0))</f>
        <v/>
      </c>
      <c r="I351" s="4">
        <f>1/(VALUE(MID(F351,1,1))/Parametros!$E$2+VALUE(MID(F351,2,1))/Parametros!$E$3+VALUE(MID(F351,3,1))/Parametros!$E$4+VALUE(MID(F351,4,1))/Parametros!$E$5)</f>
        <v/>
      </c>
      <c r="J351" s="5">
        <f>IF(G351=0,Parametros!$E$8,Parametros!$E$6+Parametros!$E$6*(Parametros!$E$7/G351+I351)/(Parametros!$E$6+Parametros!$E$7/G351+I351))</f>
        <v/>
      </c>
      <c r="K351" s="2" t="inlineStr">
        <is>
          <t>2026-09-24 15:15</t>
        </is>
      </c>
      <c r="L351" s="6" t="inlineStr">
        <is>
          <t>Válido</t>
        </is>
      </c>
      <c r="M351" s="2">
        <f>IF(L351="Válido","Sim","Não")</f>
        <v/>
      </c>
      <c r="N351" s="2" t="inlineStr"/>
    </row>
    <row r="352">
      <c r="A352" s="2" t="inlineStr">
        <is>
          <t>1Bracos_R1100_80W_2026-09-24_15_15.csv</t>
        </is>
      </c>
      <c r="B352" s="2" t="inlineStr">
        <is>
          <t>80W_3500RPM_R1100</t>
        </is>
      </c>
      <c r="C352" s="2" t="n">
        <v>80</v>
      </c>
      <c r="D352" s="2" t="n">
        <v>3500</v>
      </c>
      <c r="E352" s="3">
        <f>D352*2/60</f>
        <v/>
      </c>
      <c r="F352" s="2" t="inlineStr">
        <is>
          <t>1100</t>
        </is>
      </c>
      <c r="G352" s="2" t="n">
        <v>1</v>
      </c>
      <c r="H352" s="2">
        <f>INDEX(Parametros!$B$2:$B$9,MATCH(G352,Parametros!$A$2:$A$9,0))</f>
        <v/>
      </c>
      <c r="I352" s="4">
        <f>1/(VALUE(MID(F352,1,1))/Parametros!$E$2+VALUE(MID(F352,2,1))/Parametros!$E$3+VALUE(MID(F352,3,1))/Parametros!$E$4+VALUE(MID(F352,4,1))/Parametros!$E$5)</f>
        <v/>
      </c>
      <c r="J352" s="5">
        <f>IF(G352=0,Parametros!$E$8,Parametros!$E$6+Parametros!$E$6*(Parametros!$E$7/G352+I352)/(Parametros!$E$6+Parametros!$E$7/G352+I352))</f>
        <v/>
      </c>
      <c r="K352" s="2" t="inlineStr">
        <is>
          <t>2026-09-24 15:15</t>
        </is>
      </c>
      <c r="L352" s="6" t="inlineStr">
        <is>
          <t>Válido</t>
        </is>
      </c>
      <c r="M352" s="2">
        <f>IF(L352="Válido","Sim","Não")</f>
        <v/>
      </c>
      <c r="N352" s="2" t="inlineStr"/>
    </row>
    <row r="353">
      <c r="A353" s="2" t="inlineStr">
        <is>
          <t>0Bracos_R1100_80W_2026-09-24_15_15.csv</t>
        </is>
      </c>
      <c r="B353" s="2" t="inlineStr">
        <is>
          <t>80W_3500RPM_R1100</t>
        </is>
      </c>
      <c r="C353" s="2" t="n">
        <v>80</v>
      </c>
      <c r="D353" s="2" t="n">
        <v>3500</v>
      </c>
      <c r="E353" s="3">
        <f>D353*2/60</f>
        <v/>
      </c>
      <c r="F353" s="2" t="inlineStr">
        <is>
          <t>1100</t>
        </is>
      </c>
      <c r="G353" s="2" t="n">
        <v>0</v>
      </c>
      <c r="H353" s="2">
        <f>INDEX(Parametros!$B$2:$B$9,MATCH(G353,Parametros!$A$2:$A$9,0))</f>
        <v/>
      </c>
      <c r="I353" s="4">
        <f>1/(VALUE(MID(F353,1,1))/Parametros!$E$2+VALUE(MID(F353,2,1))/Parametros!$E$3+VALUE(MID(F353,3,1))/Parametros!$E$4+VALUE(MID(F353,4,1))/Parametros!$E$5)</f>
        <v/>
      </c>
      <c r="J353" s="5">
        <f>IF(G353=0,Parametros!$E$8,Parametros!$E$6+Parametros!$E$6*(Parametros!$E$7/G353+I353)/(Parametros!$E$6+Parametros!$E$7/G353+I353))</f>
        <v/>
      </c>
      <c r="K353" s="2" t="inlineStr">
        <is>
          <t>2026-09-24 15:15</t>
        </is>
      </c>
      <c r="L353" s="6" t="inlineStr">
        <is>
          <t>Válido</t>
        </is>
      </c>
      <c r="M353" s="2">
        <f>IF(L353="Válido","Sim","Não")</f>
        <v/>
      </c>
      <c r="N353" s="2" t="inlineStr"/>
    </row>
    <row r="354">
      <c r="A354" s="2" t="inlineStr">
        <is>
          <t>7Bracos_R1101_80W_2026-09-24_15_15.csv</t>
        </is>
      </c>
      <c r="B354" s="2" t="inlineStr">
        <is>
          <t>80W_3500RPM_R1101</t>
        </is>
      </c>
      <c r="C354" s="2" t="n">
        <v>80</v>
      </c>
      <c r="D354" s="2" t="n">
        <v>3500</v>
      </c>
      <c r="E354" s="3">
        <f>D354*2/60</f>
        <v/>
      </c>
      <c r="F354" s="2" t="inlineStr">
        <is>
          <t>1101</t>
        </is>
      </c>
      <c r="G354" s="2" t="n">
        <v>7</v>
      </c>
      <c r="H354" s="2">
        <f>INDEX(Parametros!$B$2:$B$9,MATCH(G354,Parametros!$A$2:$A$9,0))</f>
        <v/>
      </c>
      <c r="I354" s="4">
        <f>1/(VALUE(MID(F354,1,1))/Parametros!$E$2+VALUE(MID(F354,2,1))/Parametros!$E$3+VALUE(MID(F354,3,1))/Parametros!$E$4+VALUE(MID(F354,4,1))/Parametros!$E$5)</f>
        <v/>
      </c>
      <c r="J354" s="5">
        <f>IF(G354=0,Parametros!$E$8,Parametros!$E$6+Parametros!$E$6*(Parametros!$E$7/G354+I354)/(Parametros!$E$6+Parametros!$E$7/G354+I354))</f>
        <v/>
      </c>
      <c r="K354" s="2" t="inlineStr">
        <is>
          <t>2026-09-24 15:15</t>
        </is>
      </c>
      <c r="L354" s="6" t="inlineStr">
        <is>
          <t>Válido</t>
        </is>
      </c>
      <c r="M354" s="2">
        <f>IF(L354="Válido","Sim","Não")</f>
        <v/>
      </c>
      <c r="N354" s="2" t="inlineStr"/>
    </row>
    <row r="355">
      <c r="A355" s="2" t="inlineStr">
        <is>
          <t>6Bracos_R1101_80W_2026-09-24_15_15.csv</t>
        </is>
      </c>
      <c r="B355" s="2" t="inlineStr">
        <is>
          <t>80W_3500RPM_R1101</t>
        </is>
      </c>
      <c r="C355" s="2" t="n">
        <v>80</v>
      </c>
      <c r="D355" s="2" t="n">
        <v>3500</v>
      </c>
      <c r="E355" s="3">
        <f>D355*2/60</f>
        <v/>
      </c>
      <c r="F355" s="2" t="inlineStr">
        <is>
          <t>1101</t>
        </is>
      </c>
      <c r="G355" s="2" t="n">
        <v>6</v>
      </c>
      <c r="H355" s="2">
        <f>INDEX(Parametros!$B$2:$B$9,MATCH(G355,Parametros!$A$2:$A$9,0))</f>
        <v/>
      </c>
      <c r="I355" s="4">
        <f>1/(VALUE(MID(F355,1,1))/Parametros!$E$2+VALUE(MID(F355,2,1))/Parametros!$E$3+VALUE(MID(F355,3,1))/Parametros!$E$4+VALUE(MID(F355,4,1))/Parametros!$E$5)</f>
        <v/>
      </c>
      <c r="J355" s="5">
        <f>IF(G355=0,Parametros!$E$8,Parametros!$E$6+Parametros!$E$6*(Parametros!$E$7/G355+I355)/(Parametros!$E$6+Parametros!$E$7/G355+I355))</f>
        <v/>
      </c>
      <c r="K355" s="2" t="inlineStr">
        <is>
          <t>2026-09-24 15:15</t>
        </is>
      </c>
      <c r="L355" s="6" t="inlineStr">
        <is>
          <t>Válido</t>
        </is>
      </c>
      <c r="M355" s="2">
        <f>IF(L355="Válido","Sim","Não")</f>
        <v/>
      </c>
      <c r="N355" s="2" t="inlineStr"/>
    </row>
    <row r="356">
      <c r="A356" s="2" t="inlineStr">
        <is>
          <t>5Bracos_R1101_80W_2026-09-24_15_15.csv</t>
        </is>
      </c>
      <c r="B356" s="2" t="inlineStr">
        <is>
          <t>80W_3500RPM_R1101</t>
        </is>
      </c>
      <c r="C356" s="2" t="n">
        <v>80</v>
      </c>
      <c r="D356" s="2" t="n">
        <v>3500</v>
      </c>
      <c r="E356" s="3">
        <f>D356*2/60</f>
        <v/>
      </c>
      <c r="F356" s="2" t="inlineStr">
        <is>
          <t>1101</t>
        </is>
      </c>
      <c r="G356" s="2" t="n">
        <v>5</v>
      </c>
      <c r="H356" s="2">
        <f>INDEX(Parametros!$B$2:$B$9,MATCH(G356,Parametros!$A$2:$A$9,0))</f>
        <v/>
      </c>
      <c r="I356" s="4">
        <f>1/(VALUE(MID(F356,1,1))/Parametros!$E$2+VALUE(MID(F356,2,1))/Parametros!$E$3+VALUE(MID(F356,3,1))/Parametros!$E$4+VALUE(MID(F356,4,1))/Parametros!$E$5)</f>
        <v/>
      </c>
      <c r="J356" s="5">
        <f>IF(G356=0,Parametros!$E$8,Parametros!$E$6+Parametros!$E$6*(Parametros!$E$7/G356+I356)/(Parametros!$E$6+Parametros!$E$7/G356+I356))</f>
        <v/>
      </c>
      <c r="K356" s="2" t="inlineStr">
        <is>
          <t>2026-09-24 15:15</t>
        </is>
      </c>
      <c r="L356" s="6" t="inlineStr">
        <is>
          <t>Válido</t>
        </is>
      </c>
      <c r="M356" s="2">
        <f>IF(L356="Válido","Sim","Não")</f>
        <v/>
      </c>
      <c r="N356" s="2" t="inlineStr"/>
    </row>
    <row r="357">
      <c r="A357" s="2" t="inlineStr">
        <is>
          <t>4Bracos_R1101_80W_2026-09-24_15_15.csv</t>
        </is>
      </c>
      <c r="B357" s="2" t="inlineStr">
        <is>
          <t>80W_3500RPM_R1101</t>
        </is>
      </c>
      <c r="C357" s="2" t="n">
        <v>80</v>
      </c>
      <c r="D357" s="2" t="n">
        <v>3500</v>
      </c>
      <c r="E357" s="3">
        <f>D357*2/60</f>
        <v/>
      </c>
      <c r="F357" s="2" t="inlineStr">
        <is>
          <t>1101</t>
        </is>
      </c>
      <c r="G357" s="2" t="n">
        <v>4</v>
      </c>
      <c r="H357" s="2">
        <f>INDEX(Parametros!$B$2:$B$9,MATCH(G357,Parametros!$A$2:$A$9,0))</f>
        <v/>
      </c>
      <c r="I357" s="4">
        <f>1/(VALUE(MID(F357,1,1))/Parametros!$E$2+VALUE(MID(F357,2,1))/Parametros!$E$3+VALUE(MID(F357,3,1))/Parametros!$E$4+VALUE(MID(F357,4,1))/Parametros!$E$5)</f>
        <v/>
      </c>
      <c r="J357" s="5">
        <f>IF(G357=0,Parametros!$E$8,Parametros!$E$6+Parametros!$E$6*(Parametros!$E$7/G357+I357)/(Parametros!$E$6+Parametros!$E$7/G357+I357))</f>
        <v/>
      </c>
      <c r="K357" s="2" t="inlineStr">
        <is>
          <t>2026-09-24 15:15</t>
        </is>
      </c>
      <c r="L357" s="6" t="inlineStr">
        <is>
          <t>Válido</t>
        </is>
      </c>
      <c r="M357" s="2">
        <f>IF(L357="Válido","Sim","Não")</f>
        <v/>
      </c>
      <c r="N357" s="2" t="inlineStr"/>
    </row>
    <row r="358">
      <c r="A358" s="2" t="inlineStr">
        <is>
          <t>3Bracos_R1101_80W_2026-09-24_15_15.csv</t>
        </is>
      </c>
      <c r="B358" s="2" t="inlineStr">
        <is>
          <t>80W_3500RPM_R1101</t>
        </is>
      </c>
      <c r="C358" s="2" t="n">
        <v>80</v>
      </c>
      <c r="D358" s="2" t="n">
        <v>3500</v>
      </c>
      <c r="E358" s="3">
        <f>D358*2/60</f>
        <v/>
      </c>
      <c r="F358" s="2" t="inlineStr">
        <is>
          <t>1101</t>
        </is>
      </c>
      <c r="G358" s="2" t="n">
        <v>3</v>
      </c>
      <c r="H358" s="2">
        <f>INDEX(Parametros!$B$2:$B$9,MATCH(G358,Parametros!$A$2:$A$9,0))</f>
        <v/>
      </c>
      <c r="I358" s="4">
        <f>1/(VALUE(MID(F358,1,1))/Parametros!$E$2+VALUE(MID(F358,2,1))/Parametros!$E$3+VALUE(MID(F358,3,1))/Parametros!$E$4+VALUE(MID(F358,4,1))/Parametros!$E$5)</f>
        <v/>
      </c>
      <c r="J358" s="5">
        <f>IF(G358=0,Parametros!$E$8,Parametros!$E$6+Parametros!$E$6*(Parametros!$E$7/G358+I358)/(Parametros!$E$6+Parametros!$E$7/G358+I358))</f>
        <v/>
      </c>
      <c r="K358" s="2" t="inlineStr">
        <is>
          <t>2026-09-24 15:15</t>
        </is>
      </c>
      <c r="L358" s="6" t="inlineStr">
        <is>
          <t>Válido</t>
        </is>
      </c>
      <c r="M358" s="2">
        <f>IF(L358="Válido","Sim","Não")</f>
        <v/>
      </c>
      <c r="N358" s="2" t="inlineStr"/>
    </row>
    <row r="359">
      <c r="A359" s="2" t="inlineStr">
        <is>
          <t>2Bracos_R1101_80W_2026-09-24_15_15.csv</t>
        </is>
      </c>
      <c r="B359" s="2" t="inlineStr">
        <is>
          <t>80W_3500RPM_R1101</t>
        </is>
      </c>
      <c r="C359" s="2" t="n">
        <v>80</v>
      </c>
      <c r="D359" s="2" t="n">
        <v>3500</v>
      </c>
      <c r="E359" s="3">
        <f>D359*2/60</f>
        <v/>
      </c>
      <c r="F359" s="2" t="inlineStr">
        <is>
          <t>1101</t>
        </is>
      </c>
      <c r="G359" s="2" t="n">
        <v>2</v>
      </c>
      <c r="H359" s="2">
        <f>INDEX(Parametros!$B$2:$B$9,MATCH(G359,Parametros!$A$2:$A$9,0))</f>
        <v/>
      </c>
      <c r="I359" s="4">
        <f>1/(VALUE(MID(F359,1,1))/Parametros!$E$2+VALUE(MID(F359,2,1))/Parametros!$E$3+VALUE(MID(F359,3,1))/Parametros!$E$4+VALUE(MID(F359,4,1))/Parametros!$E$5)</f>
        <v/>
      </c>
      <c r="J359" s="5">
        <f>IF(G359=0,Parametros!$E$8,Parametros!$E$6+Parametros!$E$6*(Parametros!$E$7/G359+I359)/(Parametros!$E$6+Parametros!$E$7/G359+I359))</f>
        <v/>
      </c>
      <c r="K359" s="2" t="inlineStr">
        <is>
          <t>2026-09-24 15:15</t>
        </is>
      </c>
      <c r="L359" s="6" t="inlineStr">
        <is>
          <t>Válido</t>
        </is>
      </c>
      <c r="M359" s="2">
        <f>IF(L359="Válido","Sim","Não")</f>
        <v/>
      </c>
      <c r="N359" s="2" t="inlineStr"/>
    </row>
    <row r="360">
      <c r="A360" s="2" t="inlineStr">
        <is>
          <t>1Bracos_R1101_80W_2026-09-24_15_15.csv</t>
        </is>
      </c>
      <c r="B360" s="2" t="inlineStr">
        <is>
          <t>80W_3500RPM_R1101</t>
        </is>
      </c>
      <c r="C360" s="2" t="n">
        <v>80</v>
      </c>
      <c r="D360" s="2" t="n">
        <v>3500</v>
      </c>
      <c r="E360" s="3">
        <f>D360*2/60</f>
        <v/>
      </c>
      <c r="F360" s="2" t="inlineStr">
        <is>
          <t>1101</t>
        </is>
      </c>
      <c r="G360" s="2" t="n">
        <v>1</v>
      </c>
      <c r="H360" s="2">
        <f>INDEX(Parametros!$B$2:$B$9,MATCH(G360,Parametros!$A$2:$A$9,0))</f>
        <v/>
      </c>
      <c r="I360" s="4">
        <f>1/(VALUE(MID(F360,1,1))/Parametros!$E$2+VALUE(MID(F360,2,1))/Parametros!$E$3+VALUE(MID(F360,3,1))/Parametros!$E$4+VALUE(MID(F360,4,1))/Parametros!$E$5)</f>
        <v/>
      </c>
      <c r="J360" s="5">
        <f>IF(G360=0,Parametros!$E$8,Parametros!$E$6+Parametros!$E$6*(Parametros!$E$7/G360+I360)/(Parametros!$E$6+Parametros!$E$7/G360+I360))</f>
        <v/>
      </c>
      <c r="K360" s="2" t="inlineStr">
        <is>
          <t>2026-09-24 15:15</t>
        </is>
      </c>
      <c r="L360" s="6" t="inlineStr">
        <is>
          <t>Válido</t>
        </is>
      </c>
      <c r="M360" s="2">
        <f>IF(L360="Válido","Sim","Não")</f>
        <v/>
      </c>
      <c r="N360" s="2" t="inlineStr"/>
    </row>
    <row r="361">
      <c r="A361" s="2" t="inlineStr">
        <is>
          <t>0Bracos_R1101_80W_2026-09-24_15_15.csv</t>
        </is>
      </c>
      <c r="B361" s="2" t="inlineStr">
        <is>
          <t>80W_3500RPM_R1101</t>
        </is>
      </c>
      <c r="C361" s="2" t="n">
        <v>80</v>
      </c>
      <c r="D361" s="2" t="n">
        <v>3500</v>
      </c>
      <c r="E361" s="3">
        <f>D361*2/60</f>
        <v/>
      </c>
      <c r="F361" s="2" t="inlineStr">
        <is>
          <t>1101</t>
        </is>
      </c>
      <c r="G361" s="2" t="n">
        <v>0</v>
      </c>
      <c r="H361" s="2">
        <f>INDEX(Parametros!$B$2:$B$9,MATCH(G361,Parametros!$A$2:$A$9,0))</f>
        <v/>
      </c>
      <c r="I361" s="4">
        <f>1/(VALUE(MID(F361,1,1))/Parametros!$E$2+VALUE(MID(F361,2,1))/Parametros!$E$3+VALUE(MID(F361,3,1))/Parametros!$E$4+VALUE(MID(F361,4,1))/Parametros!$E$5)</f>
        <v/>
      </c>
      <c r="J361" s="5">
        <f>IF(G361=0,Parametros!$E$8,Parametros!$E$6+Parametros!$E$6*(Parametros!$E$7/G361+I361)/(Parametros!$E$6+Parametros!$E$7/G361+I361))</f>
        <v/>
      </c>
      <c r="K361" s="2" t="inlineStr">
        <is>
          <t>2026-09-24 15:15</t>
        </is>
      </c>
      <c r="L361" s="6" t="inlineStr">
        <is>
          <t>Válido</t>
        </is>
      </c>
      <c r="M361" s="2">
        <f>IF(L361="Válido","Sim","Não")</f>
        <v/>
      </c>
      <c r="N361" s="2" t="inlineStr"/>
    </row>
    <row r="362">
      <c r="A362" s="2" t="inlineStr">
        <is>
          <t>7Bracos_R1110_80W_2026-09-24_15_15.csv</t>
        </is>
      </c>
      <c r="B362" s="2" t="inlineStr">
        <is>
          <t>80W_3500RPM_R1110</t>
        </is>
      </c>
      <c r="C362" s="2" t="n">
        <v>80</v>
      </c>
      <c r="D362" s="2" t="n">
        <v>3500</v>
      </c>
      <c r="E362" s="3">
        <f>D362*2/60</f>
        <v/>
      </c>
      <c r="F362" s="2" t="inlineStr">
        <is>
          <t>1110</t>
        </is>
      </c>
      <c r="G362" s="2" t="n">
        <v>7</v>
      </c>
      <c r="H362" s="2">
        <f>INDEX(Parametros!$B$2:$B$9,MATCH(G362,Parametros!$A$2:$A$9,0))</f>
        <v/>
      </c>
      <c r="I362" s="4">
        <f>1/(VALUE(MID(F362,1,1))/Parametros!$E$2+VALUE(MID(F362,2,1))/Parametros!$E$3+VALUE(MID(F362,3,1))/Parametros!$E$4+VALUE(MID(F362,4,1))/Parametros!$E$5)</f>
        <v/>
      </c>
      <c r="J362" s="5">
        <f>IF(G362=0,Parametros!$E$8,Parametros!$E$6+Parametros!$E$6*(Parametros!$E$7/G362+I362)/(Parametros!$E$6+Parametros!$E$7/G362+I362))</f>
        <v/>
      </c>
      <c r="K362" s="2" t="inlineStr">
        <is>
          <t>2026-09-24 15:15</t>
        </is>
      </c>
      <c r="L362" s="6" t="inlineStr">
        <is>
          <t>Válido</t>
        </is>
      </c>
      <c r="M362" s="2">
        <f>IF(L362="Válido","Sim","Não")</f>
        <v/>
      </c>
      <c r="N362" s="2" t="inlineStr"/>
    </row>
    <row r="363">
      <c r="A363" s="2" t="inlineStr">
        <is>
          <t>6Bracos_R1110_80W_2026-09-24_15_15.csv</t>
        </is>
      </c>
      <c r="B363" s="2" t="inlineStr">
        <is>
          <t>80W_3500RPM_R1110</t>
        </is>
      </c>
      <c r="C363" s="2" t="n">
        <v>80</v>
      </c>
      <c r="D363" s="2" t="n">
        <v>3500</v>
      </c>
      <c r="E363" s="3">
        <f>D363*2/60</f>
        <v/>
      </c>
      <c r="F363" s="2" t="inlineStr">
        <is>
          <t>1110</t>
        </is>
      </c>
      <c r="G363" s="2" t="n">
        <v>6</v>
      </c>
      <c r="H363" s="2">
        <f>INDEX(Parametros!$B$2:$B$9,MATCH(G363,Parametros!$A$2:$A$9,0))</f>
        <v/>
      </c>
      <c r="I363" s="4">
        <f>1/(VALUE(MID(F363,1,1))/Parametros!$E$2+VALUE(MID(F363,2,1))/Parametros!$E$3+VALUE(MID(F363,3,1))/Parametros!$E$4+VALUE(MID(F363,4,1))/Parametros!$E$5)</f>
        <v/>
      </c>
      <c r="J363" s="5">
        <f>IF(G363=0,Parametros!$E$8,Parametros!$E$6+Parametros!$E$6*(Parametros!$E$7/G363+I363)/(Parametros!$E$6+Parametros!$E$7/G363+I363))</f>
        <v/>
      </c>
      <c r="K363" s="2" t="inlineStr">
        <is>
          <t>2026-09-24 15:15</t>
        </is>
      </c>
      <c r="L363" s="6" t="inlineStr">
        <is>
          <t>Válido</t>
        </is>
      </c>
      <c r="M363" s="2">
        <f>IF(L363="Válido","Sim","Não")</f>
        <v/>
      </c>
      <c r="N363" s="2" t="inlineStr"/>
    </row>
    <row r="364">
      <c r="A364" s="2" t="inlineStr">
        <is>
          <t>5Bracos_R1110_80W_2026-09-24_15_15.csv</t>
        </is>
      </c>
      <c r="B364" s="2" t="inlineStr">
        <is>
          <t>80W_3500RPM_R1110</t>
        </is>
      </c>
      <c r="C364" s="2" t="n">
        <v>80</v>
      </c>
      <c r="D364" s="2" t="n">
        <v>3500</v>
      </c>
      <c r="E364" s="3">
        <f>D364*2/60</f>
        <v/>
      </c>
      <c r="F364" s="2" t="inlineStr">
        <is>
          <t>1110</t>
        </is>
      </c>
      <c r="G364" s="2" t="n">
        <v>5</v>
      </c>
      <c r="H364" s="2">
        <f>INDEX(Parametros!$B$2:$B$9,MATCH(G364,Parametros!$A$2:$A$9,0))</f>
        <v/>
      </c>
      <c r="I364" s="4">
        <f>1/(VALUE(MID(F364,1,1))/Parametros!$E$2+VALUE(MID(F364,2,1))/Parametros!$E$3+VALUE(MID(F364,3,1))/Parametros!$E$4+VALUE(MID(F364,4,1))/Parametros!$E$5)</f>
        <v/>
      </c>
      <c r="J364" s="5">
        <f>IF(G364=0,Parametros!$E$8,Parametros!$E$6+Parametros!$E$6*(Parametros!$E$7/G364+I364)/(Parametros!$E$6+Parametros!$E$7/G364+I364))</f>
        <v/>
      </c>
      <c r="K364" s="2" t="inlineStr">
        <is>
          <t>2026-09-24 15:15</t>
        </is>
      </c>
      <c r="L364" s="6" t="inlineStr">
        <is>
          <t>Válido</t>
        </is>
      </c>
      <c r="M364" s="2">
        <f>IF(L364="Válido","Sim","Não")</f>
        <v/>
      </c>
      <c r="N364" s="2" t="inlineStr"/>
    </row>
    <row r="365">
      <c r="A365" s="2" t="inlineStr">
        <is>
          <t>4Bracos_R1110_80W_2026-09-24_15_15.csv</t>
        </is>
      </c>
      <c r="B365" s="2" t="inlineStr">
        <is>
          <t>80W_3500RPM_R1110</t>
        </is>
      </c>
      <c r="C365" s="2" t="n">
        <v>80</v>
      </c>
      <c r="D365" s="2" t="n">
        <v>3500</v>
      </c>
      <c r="E365" s="3">
        <f>D365*2/60</f>
        <v/>
      </c>
      <c r="F365" s="2" t="inlineStr">
        <is>
          <t>1110</t>
        </is>
      </c>
      <c r="G365" s="2" t="n">
        <v>4</v>
      </c>
      <c r="H365" s="2">
        <f>INDEX(Parametros!$B$2:$B$9,MATCH(G365,Parametros!$A$2:$A$9,0))</f>
        <v/>
      </c>
      <c r="I365" s="4">
        <f>1/(VALUE(MID(F365,1,1))/Parametros!$E$2+VALUE(MID(F365,2,1))/Parametros!$E$3+VALUE(MID(F365,3,1))/Parametros!$E$4+VALUE(MID(F365,4,1))/Parametros!$E$5)</f>
        <v/>
      </c>
      <c r="J365" s="5">
        <f>IF(G365=0,Parametros!$E$8,Parametros!$E$6+Parametros!$E$6*(Parametros!$E$7/G365+I365)/(Parametros!$E$6+Parametros!$E$7/G365+I365))</f>
        <v/>
      </c>
      <c r="K365" s="2" t="inlineStr">
        <is>
          <t>2026-09-24 15:15</t>
        </is>
      </c>
      <c r="L365" s="6" t="inlineStr">
        <is>
          <t>Válido</t>
        </is>
      </c>
      <c r="M365" s="2">
        <f>IF(L365="Válido","Sim","Não")</f>
        <v/>
      </c>
      <c r="N365" s="2" t="inlineStr"/>
    </row>
    <row r="366">
      <c r="A366" s="2" t="inlineStr">
        <is>
          <t>3Bracos_R1110_80W_2026-09-24_15_15.csv</t>
        </is>
      </c>
      <c r="B366" s="2" t="inlineStr">
        <is>
          <t>80W_3500RPM_R1110</t>
        </is>
      </c>
      <c r="C366" s="2" t="n">
        <v>80</v>
      </c>
      <c r="D366" s="2" t="n">
        <v>3500</v>
      </c>
      <c r="E366" s="3">
        <f>D366*2/60</f>
        <v/>
      </c>
      <c r="F366" s="2" t="inlineStr">
        <is>
          <t>1110</t>
        </is>
      </c>
      <c r="G366" s="2" t="n">
        <v>3</v>
      </c>
      <c r="H366" s="2">
        <f>INDEX(Parametros!$B$2:$B$9,MATCH(G366,Parametros!$A$2:$A$9,0))</f>
        <v/>
      </c>
      <c r="I366" s="4">
        <f>1/(VALUE(MID(F366,1,1))/Parametros!$E$2+VALUE(MID(F366,2,1))/Parametros!$E$3+VALUE(MID(F366,3,1))/Parametros!$E$4+VALUE(MID(F366,4,1))/Parametros!$E$5)</f>
        <v/>
      </c>
      <c r="J366" s="5">
        <f>IF(G366=0,Parametros!$E$8,Parametros!$E$6+Parametros!$E$6*(Parametros!$E$7/G366+I366)/(Parametros!$E$6+Parametros!$E$7/G366+I366))</f>
        <v/>
      </c>
      <c r="K366" s="2" t="inlineStr">
        <is>
          <t>2026-09-24 15:15</t>
        </is>
      </c>
      <c r="L366" s="6" t="inlineStr">
        <is>
          <t>Válido</t>
        </is>
      </c>
      <c r="M366" s="2">
        <f>IF(L366="Válido","Sim","Não")</f>
        <v/>
      </c>
      <c r="N366" s="2" t="inlineStr"/>
    </row>
    <row r="367">
      <c r="A367" s="2" t="inlineStr">
        <is>
          <t>2Bracos_R1110_80W_2026-09-24_15_15.csv</t>
        </is>
      </c>
      <c r="B367" s="2" t="inlineStr">
        <is>
          <t>80W_3500RPM_R1110</t>
        </is>
      </c>
      <c r="C367" s="2" t="n">
        <v>80</v>
      </c>
      <c r="D367" s="2" t="n">
        <v>3500</v>
      </c>
      <c r="E367" s="3">
        <f>D367*2/60</f>
        <v/>
      </c>
      <c r="F367" s="2" t="inlineStr">
        <is>
          <t>1110</t>
        </is>
      </c>
      <c r="G367" s="2" t="n">
        <v>2</v>
      </c>
      <c r="H367" s="2">
        <f>INDEX(Parametros!$B$2:$B$9,MATCH(G367,Parametros!$A$2:$A$9,0))</f>
        <v/>
      </c>
      <c r="I367" s="4">
        <f>1/(VALUE(MID(F367,1,1))/Parametros!$E$2+VALUE(MID(F367,2,1))/Parametros!$E$3+VALUE(MID(F367,3,1))/Parametros!$E$4+VALUE(MID(F367,4,1))/Parametros!$E$5)</f>
        <v/>
      </c>
      <c r="J367" s="5">
        <f>IF(G367=0,Parametros!$E$8,Parametros!$E$6+Parametros!$E$6*(Parametros!$E$7/G367+I367)/(Parametros!$E$6+Parametros!$E$7/G367+I367))</f>
        <v/>
      </c>
      <c r="K367" s="2" t="inlineStr">
        <is>
          <t>2026-09-24 15:15</t>
        </is>
      </c>
      <c r="L367" s="6" t="inlineStr">
        <is>
          <t>Válido</t>
        </is>
      </c>
      <c r="M367" s="2">
        <f>IF(L367="Válido","Sim","Não")</f>
        <v/>
      </c>
      <c r="N367" s="2" t="inlineStr"/>
    </row>
    <row r="368">
      <c r="A368" s="2" t="inlineStr">
        <is>
          <t>1Bracos_R1110_80W_2026-09-24_15_15.csv</t>
        </is>
      </c>
      <c r="B368" s="2" t="inlineStr">
        <is>
          <t>80W_3500RPM_R1110</t>
        </is>
      </c>
      <c r="C368" s="2" t="n">
        <v>80</v>
      </c>
      <c r="D368" s="2" t="n">
        <v>3500</v>
      </c>
      <c r="E368" s="3">
        <f>D368*2/60</f>
        <v/>
      </c>
      <c r="F368" s="2" t="inlineStr">
        <is>
          <t>1110</t>
        </is>
      </c>
      <c r="G368" s="2" t="n">
        <v>1</v>
      </c>
      <c r="H368" s="2">
        <f>INDEX(Parametros!$B$2:$B$9,MATCH(G368,Parametros!$A$2:$A$9,0))</f>
        <v/>
      </c>
      <c r="I368" s="4">
        <f>1/(VALUE(MID(F368,1,1))/Parametros!$E$2+VALUE(MID(F368,2,1))/Parametros!$E$3+VALUE(MID(F368,3,1))/Parametros!$E$4+VALUE(MID(F368,4,1))/Parametros!$E$5)</f>
        <v/>
      </c>
      <c r="J368" s="5">
        <f>IF(G368=0,Parametros!$E$8,Parametros!$E$6+Parametros!$E$6*(Parametros!$E$7/G368+I368)/(Parametros!$E$6+Parametros!$E$7/G368+I368))</f>
        <v/>
      </c>
      <c r="K368" s="2" t="inlineStr">
        <is>
          <t>2026-09-24 15:15</t>
        </is>
      </c>
      <c r="L368" s="6" t="inlineStr">
        <is>
          <t>Válido</t>
        </is>
      </c>
      <c r="M368" s="2">
        <f>IF(L368="Válido","Sim","Não")</f>
        <v/>
      </c>
      <c r="N368" s="2" t="inlineStr"/>
    </row>
    <row r="369">
      <c r="A369" s="2" t="inlineStr">
        <is>
          <t>0Bracos_R1110_80W_2026-09-24_15_15.csv</t>
        </is>
      </c>
      <c r="B369" s="2" t="inlineStr">
        <is>
          <t>80W_3500RPM_R1110</t>
        </is>
      </c>
      <c r="C369" s="2" t="n">
        <v>80</v>
      </c>
      <c r="D369" s="2" t="n">
        <v>3500</v>
      </c>
      <c r="E369" s="3">
        <f>D369*2/60</f>
        <v/>
      </c>
      <c r="F369" s="2" t="inlineStr">
        <is>
          <t>1110</t>
        </is>
      </c>
      <c r="G369" s="2" t="n">
        <v>0</v>
      </c>
      <c r="H369" s="2">
        <f>INDEX(Parametros!$B$2:$B$9,MATCH(G369,Parametros!$A$2:$A$9,0))</f>
        <v/>
      </c>
      <c r="I369" s="4">
        <f>1/(VALUE(MID(F369,1,1))/Parametros!$E$2+VALUE(MID(F369,2,1))/Parametros!$E$3+VALUE(MID(F369,3,1))/Parametros!$E$4+VALUE(MID(F369,4,1))/Parametros!$E$5)</f>
        <v/>
      </c>
      <c r="J369" s="5">
        <f>IF(G369=0,Parametros!$E$8,Parametros!$E$6+Parametros!$E$6*(Parametros!$E$7/G369+I369)/(Parametros!$E$6+Parametros!$E$7/G369+I369))</f>
        <v/>
      </c>
      <c r="K369" s="2" t="inlineStr">
        <is>
          <t>2026-09-24 15:15</t>
        </is>
      </c>
      <c r="L369" s="6" t="inlineStr">
        <is>
          <t>Válido</t>
        </is>
      </c>
      <c r="M369" s="2">
        <f>IF(L369="Válido","Sim","Não")</f>
        <v/>
      </c>
      <c r="N369" s="2" t="inlineStr"/>
    </row>
    <row r="370">
      <c r="A370" s="2" t="inlineStr">
        <is>
          <t>7Bracos_R1111_80W_2026-09-24_15_15.csv</t>
        </is>
      </c>
      <c r="B370" s="2" t="inlineStr">
        <is>
          <t>80W_3500RPM_R1111</t>
        </is>
      </c>
      <c r="C370" s="2" t="n">
        <v>80</v>
      </c>
      <c r="D370" s="2" t="n">
        <v>3500</v>
      </c>
      <c r="E370" s="3">
        <f>D370*2/60</f>
        <v/>
      </c>
      <c r="F370" s="2" t="inlineStr">
        <is>
          <t>1111</t>
        </is>
      </c>
      <c r="G370" s="2" t="n">
        <v>7</v>
      </c>
      <c r="H370" s="2">
        <f>INDEX(Parametros!$B$2:$B$9,MATCH(G370,Parametros!$A$2:$A$9,0))</f>
        <v/>
      </c>
      <c r="I370" s="4">
        <f>1/(VALUE(MID(F370,1,1))/Parametros!$E$2+VALUE(MID(F370,2,1))/Parametros!$E$3+VALUE(MID(F370,3,1))/Parametros!$E$4+VALUE(MID(F370,4,1))/Parametros!$E$5)</f>
        <v/>
      </c>
      <c r="J370" s="5">
        <f>IF(G370=0,Parametros!$E$8,Parametros!$E$6+Parametros!$E$6*(Parametros!$E$7/G370+I370)/(Parametros!$E$6+Parametros!$E$7/G370+I370))</f>
        <v/>
      </c>
      <c r="K370" s="2" t="inlineStr">
        <is>
          <t>2026-09-24 15:15</t>
        </is>
      </c>
      <c r="L370" s="6" t="inlineStr">
        <is>
          <t>Válido</t>
        </is>
      </c>
      <c r="M370" s="2">
        <f>IF(L370="Válido","Sim","Não")</f>
        <v/>
      </c>
      <c r="N370" s="2" t="inlineStr"/>
    </row>
    <row r="371">
      <c r="A371" s="2" t="inlineStr">
        <is>
          <t>6Bracos_R1111_80W_2026-09-24_15_15.csv</t>
        </is>
      </c>
      <c r="B371" s="2" t="inlineStr">
        <is>
          <t>80W_3500RPM_R1111</t>
        </is>
      </c>
      <c r="C371" s="2" t="n">
        <v>80</v>
      </c>
      <c r="D371" s="2" t="n">
        <v>3500</v>
      </c>
      <c r="E371" s="3">
        <f>D371*2/60</f>
        <v/>
      </c>
      <c r="F371" s="2" t="inlineStr">
        <is>
          <t>1111</t>
        </is>
      </c>
      <c r="G371" s="2" t="n">
        <v>6</v>
      </c>
      <c r="H371" s="2">
        <f>INDEX(Parametros!$B$2:$B$9,MATCH(G371,Parametros!$A$2:$A$9,0))</f>
        <v/>
      </c>
      <c r="I371" s="4">
        <f>1/(VALUE(MID(F371,1,1))/Parametros!$E$2+VALUE(MID(F371,2,1))/Parametros!$E$3+VALUE(MID(F371,3,1))/Parametros!$E$4+VALUE(MID(F371,4,1))/Parametros!$E$5)</f>
        <v/>
      </c>
      <c r="J371" s="5">
        <f>IF(G371=0,Parametros!$E$8,Parametros!$E$6+Parametros!$E$6*(Parametros!$E$7/G371+I371)/(Parametros!$E$6+Parametros!$E$7/G371+I371))</f>
        <v/>
      </c>
      <c r="K371" s="2" t="inlineStr">
        <is>
          <t>2026-09-24 15:15</t>
        </is>
      </c>
      <c r="L371" s="6" t="inlineStr">
        <is>
          <t>Válido</t>
        </is>
      </c>
      <c r="M371" s="2">
        <f>IF(L371="Válido","Sim","Não")</f>
        <v/>
      </c>
      <c r="N371" s="2" t="inlineStr"/>
    </row>
    <row r="372">
      <c r="A372" s="2" t="inlineStr">
        <is>
          <t>5Bracos_R1111_80W_2026-09-24_15_15.csv</t>
        </is>
      </c>
      <c r="B372" s="2" t="inlineStr">
        <is>
          <t>80W_3500RPM_R1111</t>
        </is>
      </c>
      <c r="C372" s="2" t="n">
        <v>80</v>
      </c>
      <c r="D372" s="2" t="n">
        <v>3500</v>
      </c>
      <c r="E372" s="3">
        <f>D372*2/60</f>
        <v/>
      </c>
      <c r="F372" s="2" t="inlineStr">
        <is>
          <t>1111</t>
        </is>
      </c>
      <c r="G372" s="2" t="n">
        <v>5</v>
      </c>
      <c r="H372" s="2">
        <f>INDEX(Parametros!$B$2:$B$9,MATCH(G372,Parametros!$A$2:$A$9,0))</f>
        <v/>
      </c>
      <c r="I372" s="4">
        <f>1/(VALUE(MID(F372,1,1))/Parametros!$E$2+VALUE(MID(F372,2,1))/Parametros!$E$3+VALUE(MID(F372,3,1))/Parametros!$E$4+VALUE(MID(F372,4,1))/Parametros!$E$5)</f>
        <v/>
      </c>
      <c r="J372" s="5">
        <f>IF(G372=0,Parametros!$E$8,Parametros!$E$6+Parametros!$E$6*(Parametros!$E$7/G372+I372)/(Parametros!$E$6+Parametros!$E$7/G372+I372))</f>
        <v/>
      </c>
      <c r="K372" s="2" t="inlineStr">
        <is>
          <t>2026-09-24 15:15</t>
        </is>
      </c>
      <c r="L372" s="6" t="inlineStr">
        <is>
          <t>Válido</t>
        </is>
      </c>
      <c r="M372" s="2">
        <f>IF(L372="Válido","Sim","Não")</f>
        <v/>
      </c>
      <c r="N372" s="2" t="inlineStr"/>
    </row>
    <row r="373">
      <c r="A373" s="2" t="inlineStr">
        <is>
          <t>4Bracos_R1111_80W_2026-09-24_15_15.csv</t>
        </is>
      </c>
      <c r="B373" s="2" t="inlineStr">
        <is>
          <t>80W_3500RPM_R1111</t>
        </is>
      </c>
      <c r="C373" s="2" t="n">
        <v>80</v>
      </c>
      <c r="D373" s="2" t="n">
        <v>3500</v>
      </c>
      <c r="E373" s="3">
        <f>D373*2/60</f>
        <v/>
      </c>
      <c r="F373" s="2" t="inlineStr">
        <is>
          <t>1111</t>
        </is>
      </c>
      <c r="G373" s="2" t="n">
        <v>4</v>
      </c>
      <c r="H373" s="2">
        <f>INDEX(Parametros!$B$2:$B$9,MATCH(G373,Parametros!$A$2:$A$9,0))</f>
        <v/>
      </c>
      <c r="I373" s="4">
        <f>1/(VALUE(MID(F373,1,1))/Parametros!$E$2+VALUE(MID(F373,2,1))/Parametros!$E$3+VALUE(MID(F373,3,1))/Parametros!$E$4+VALUE(MID(F373,4,1))/Parametros!$E$5)</f>
        <v/>
      </c>
      <c r="J373" s="5">
        <f>IF(G373=0,Parametros!$E$8,Parametros!$E$6+Parametros!$E$6*(Parametros!$E$7/G373+I373)/(Parametros!$E$6+Parametros!$E$7/G373+I373))</f>
        <v/>
      </c>
      <c r="K373" s="2" t="inlineStr">
        <is>
          <t>2026-09-24 15:15</t>
        </is>
      </c>
      <c r="L373" s="6" t="inlineStr">
        <is>
          <t>Válido</t>
        </is>
      </c>
      <c r="M373" s="2">
        <f>IF(L373="Válido","Sim","Não")</f>
        <v/>
      </c>
      <c r="N373" s="2" t="inlineStr"/>
    </row>
    <row r="374">
      <c r="A374" s="2" t="inlineStr">
        <is>
          <t>3Bracos_R1111_80W_2026-09-24_15_15.csv</t>
        </is>
      </c>
      <c r="B374" s="2" t="inlineStr">
        <is>
          <t>80W_3500RPM_R1111</t>
        </is>
      </c>
      <c r="C374" s="2" t="n">
        <v>80</v>
      </c>
      <c r="D374" s="2" t="n">
        <v>3500</v>
      </c>
      <c r="E374" s="3">
        <f>D374*2/60</f>
        <v/>
      </c>
      <c r="F374" s="2" t="inlineStr">
        <is>
          <t>1111</t>
        </is>
      </c>
      <c r="G374" s="2" t="n">
        <v>3</v>
      </c>
      <c r="H374" s="2">
        <f>INDEX(Parametros!$B$2:$B$9,MATCH(G374,Parametros!$A$2:$A$9,0))</f>
        <v/>
      </c>
      <c r="I374" s="4">
        <f>1/(VALUE(MID(F374,1,1))/Parametros!$E$2+VALUE(MID(F374,2,1))/Parametros!$E$3+VALUE(MID(F374,3,1))/Parametros!$E$4+VALUE(MID(F374,4,1))/Parametros!$E$5)</f>
        <v/>
      </c>
      <c r="J374" s="5">
        <f>IF(G374=0,Parametros!$E$8,Parametros!$E$6+Parametros!$E$6*(Parametros!$E$7/G374+I374)/(Parametros!$E$6+Parametros!$E$7/G374+I374))</f>
        <v/>
      </c>
      <c r="K374" s="2" t="inlineStr">
        <is>
          <t>2026-09-24 15:15</t>
        </is>
      </c>
      <c r="L374" s="6" t="inlineStr">
        <is>
          <t>Válido</t>
        </is>
      </c>
      <c r="M374" s="2">
        <f>IF(L374="Válido","Sim","Não")</f>
        <v/>
      </c>
      <c r="N374" s="2" t="inlineStr"/>
    </row>
    <row r="375">
      <c r="A375" s="2" t="inlineStr">
        <is>
          <t>2Bracos_R1111_80W_2026-09-24_15_15.csv</t>
        </is>
      </c>
      <c r="B375" s="2" t="inlineStr">
        <is>
          <t>80W_3500RPM_R1111</t>
        </is>
      </c>
      <c r="C375" s="2" t="n">
        <v>80</v>
      </c>
      <c r="D375" s="2" t="n">
        <v>3500</v>
      </c>
      <c r="E375" s="3">
        <f>D375*2/60</f>
        <v/>
      </c>
      <c r="F375" s="2" t="inlineStr">
        <is>
          <t>1111</t>
        </is>
      </c>
      <c r="G375" s="2" t="n">
        <v>2</v>
      </c>
      <c r="H375" s="2">
        <f>INDEX(Parametros!$B$2:$B$9,MATCH(G375,Parametros!$A$2:$A$9,0))</f>
        <v/>
      </c>
      <c r="I375" s="4">
        <f>1/(VALUE(MID(F375,1,1))/Parametros!$E$2+VALUE(MID(F375,2,1))/Parametros!$E$3+VALUE(MID(F375,3,1))/Parametros!$E$4+VALUE(MID(F375,4,1))/Parametros!$E$5)</f>
        <v/>
      </c>
      <c r="J375" s="5">
        <f>IF(G375=0,Parametros!$E$8,Parametros!$E$6+Parametros!$E$6*(Parametros!$E$7/G375+I375)/(Parametros!$E$6+Parametros!$E$7/G375+I375))</f>
        <v/>
      </c>
      <c r="K375" s="2" t="inlineStr">
        <is>
          <t>2026-09-24 15:15</t>
        </is>
      </c>
      <c r="L375" s="6" t="inlineStr">
        <is>
          <t>Válido</t>
        </is>
      </c>
      <c r="M375" s="2">
        <f>IF(L375="Válido","Sim","Não")</f>
        <v/>
      </c>
      <c r="N375" s="2" t="inlineStr"/>
    </row>
    <row r="376">
      <c r="A376" s="2" t="inlineStr">
        <is>
          <t>1Bracos_R1111_80W_2026-09-24_15_15.csv</t>
        </is>
      </c>
      <c r="B376" s="2" t="inlineStr">
        <is>
          <t>80W_3500RPM_R1111</t>
        </is>
      </c>
      <c r="C376" s="2" t="n">
        <v>80</v>
      </c>
      <c r="D376" s="2" t="n">
        <v>3500</v>
      </c>
      <c r="E376" s="3">
        <f>D376*2/60</f>
        <v/>
      </c>
      <c r="F376" s="2" t="inlineStr">
        <is>
          <t>1111</t>
        </is>
      </c>
      <c r="G376" s="2" t="n">
        <v>1</v>
      </c>
      <c r="H376" s="2">
        <f>INDEX(Parametros!$B$2:$B$9,MATCH(G376,Parametros!$A$2:$A$9,0))</f>
        <v/>
      </c>
      <c r="I376" s="4">
        <f>1/(VALUE(MID(F376,1,1))/Parametros!$E$2+VALUE(MID(F376,2,1))/Parametros!$E$3+VALUE(MID(F376,3,1))/Parametros!$E$4+VALUE(MID(F376,4,1))/Parametros!$E$5)</f>
        <v/>
      </c>
      <c r="J376" s="5">
        <f>IF(G376=0,Parametros!$E$8,Parametros!$E$6+Parametros!$E$6*(Parametros!$E$7/G376+I376)/(Parametros!$E$6+Parametros!$E$7/G376+I376))</f>
        <v/>
      </c>
      <c r="K376" s="2" t="inlineStr">
        <is>
          <t>2026-09-24 15:15</t>
        </is>
      </c>
      <c r="L376" s="6" t="inlineStr">
        <is>
          <t>Válido</t>
        </is>
      </c>
      <c r="M376" s="2">
        <f>IF(L376="Válido","Sim","Não")</f>
        <v/>
      </c>
      <c r="N376" s="2" t="inlineStr"/>
    </row>
    <row r="377">
      <c r="A377" s="2" t="inlineStr">
        <is>
          <t>0Bracos_R1111_80W_2026-09-24_15_15.csv</t>
        </is>
      </c>
      <c r="B377" s="2" t="inlineStr">
        <is>
          <t>80W_3500RPM_R1111</t>
        </is>
      </c>
      <c r="C377" s="2" t="n">
        <v>80</v>
      </c>
      <c r="D377" s="2" t="n">
        <v>3500</v>
      </c>
      <c r="E377" s="3">
        <f>D377*2/60</f>
        <v/>
      </c>
      <c r="F377" s="2" t="inlineStr">
        <is>
          <t>1111</t>
        </is>
      </c>
      <c r="G377" s="2" t="n">
        <v>0</v>
      </c>
      <c r="H377" s="2">
        <f>INDEX(Parametros!$B$2:$B$9,MATCH(G377,Parametros!$A$2:$A$9,0))</f>
        <v/>
      </c>
      <c r="I377" s="4">
        <f>1/(VALUE(MID(F377,1,1))/Parametros!$E$2+VALUE(MID(F377,2,1))/Parametros!$E$3+VALUE(MID(F377,3,1))/Parametros!$E$4+VALUE(MID(F377,4,1))/Parametros!$E$5)</f>
        <v/>
      </c>
      <c r="J377" s="5">
        <f>IF(G377=0,Parametros!$E$8,Parametros!$E$6+Parametros!$E$6*(Parametros!$E$7/G377+I377)/(Parametros!$E$6+Parametros!$E$7/G377+I377))</f>
        <v/>
      </c>
      <c r="K377" s="2" t="inlineStr">
        <is>
          <t>2026-09-24 15:15</t>
        </is>
      </c>
      <c r="L377" s="6" t="inlineStr">
        <is>
          <t>Válido</t>
        </is>
      </c>
      <c r="M377" s="2">
        <f>IF(L377="Válido","Sim","Não")</f>
        <v/>
      </c>
      <c r="N377" s="2" t="inlineStr"/>
    </row>
    <row r="378">
      <c r="A378" s="2" t="inlineStr">
        <is>
          <t>7Bracos_2700_R0001_150W_2026-08-10_16_15.csv</t>
        </is>
      </c>
      <c r="B378" s="2" t="inlineStr">
        <is>
          <t>150W_2700RPM_R0001</t>
        </is>
      </c>
      <c r="C378" s="2" t="n">
        <v>150</v>
      </c>
      <c r="D378" s="2" t="n">
        <v>2700</v>
      </c>
      <c r="E378" s="3">
        <f>D378*2/60</f>
        <v/>
      </c>
      <c r="F378" s="2" t="inlineStr">
        <is>
          <t>0001</t>
        </is>
      </c>
      <c r="G378" s="2" t="n">
        <v>7</v>
      </c>
      <c r="H378" s="2">
        <f>INDEX(Parametros!$B$2:$B$9,MATCH(G378,Parametros!$A$2:$A$9,0))</f>
        <v/>
      </c>
      <c r="I378" s="4">
        <f>1/(VALUE(MID(F378,1,1))/Parametros!$E$2+VALUE(MID(F378,2,1))/Parametros!$E$3+VALUE(MID(F378,3,1))/Parametros!$E$4+VALUE(MID(F378,4,1))/Parametros!$E$5)</f>
        <v/>
      </c>
      <c r="J378" s="5">
        <f>IF(G378=0,Parametros!$E$8,Parametros!$E$6+Parametros!$E$6*(Parametros!$E$7/G378+I378)/(Parametros!$E$6+Parametros!$E$7/G378+I378))</f>
        <v/>
      </c>
      <c r="K378" s="2" t="inlineStr">
        <is>
          <t>2026-08-10 16:15</t>
        </is>
      </c>
      <c r="L378" s="6" t="inlineStr">
        <is>
          <t>Válido</t>
        </is>
      </c>
      <c r="M378" s="2">
        <f>IF(L378="Válido","Sim","Não")</f>
        <v/>
      </c>
      <c r="N378" s="2" t="inlineStr"/>
    </row>
    <row r="379">
      <c r="A379" s="2" t="inlineStr">
        <is>
          <t>6Bracos_2700_R0001_150W_2026-08-10_16_15.csv</t>
        </is>
      </c>
      <c r="B379" s="2" t="inlineStr">
        <is>
          <t>150W_2700RPM_R0001</t>
        </is>
      </c>
      <c r="C379" s="2" t="n">
        <v>150</v>
      </c>
      <c r="D379" s="2" t="n">
        <v>2700</v>
      </c>
      <c r="E379" s="3">
        <f>D379*2/60</f>
        <v/>
      </c>
      <c r="F379" s="2" t="inlineStr">
        <is>
          <t>0001</t>
        </is>
      </c>
      <c r="G379" s="2" t="n">
        <v>6</v>
      </c>
      <c r="H379" s="2">
        <f>INDEX(Parametros!$B$2:$B$9,MATCH(G379,Parametros!$A$2:$A$9,0))</f>
        <v/>
      </c>
      <c r="I379" s="4">
        <f>1/(VALUE(MID(F379,1,1))/Parametros!$E$2+VALUE(MID(F379,2,1))/Parametros!$E$3+VALUE(MID(F379,3,1))/Parametros!$E$4+VALUE(MID(F379,4,1))/Parametros!$E$5)</f>
        <v/>
      </c>
      <c r="J379" s="5">
        <f>IF(G379=0,Parametros!$E$8,Parametros!$E$6+Parametros!$E$6*(Parametros!$E$7/G379+I379)/(Parametros!$E$6+Parametros!$E$7/G379+I379))</f>
        <v/>
      </c>
      <c r="K379" s="2" t="inlineStr">
        <is>
          <t>2026-08-10 16:15</t>
        </is>
      </c>
      <c r="L379" s="6" t="inlineStr">
        <is>
          <t>Válido</t>
        </is>
      </c>
      <c r="M379" s="2">
        <f>IF(L379="Válido","Sim","Não")</f>
        <v/>
      </c>
      <c r="N379" s="2" t="inlineStr"/>
    </row>
    <row r="380">
      <c r="A380" s="2" t="inlineStr">
        <is>
          <t>5Bracos_2700_R0001_150W_2026-08-10_16_15.csv</t>
        </is>
      </c>
      <c r="B380" s="2" t="inlineStr">
        <is>
          <t>150W_2700RPM_R0001</t>
        </is>
      </c>
      <c r="C380" s="2" t="n">
        <v>150</v>
      </c>
      <c r="D380" s="2" t="n">
        <v>2700</v>
      </c>
      <c r="E380" s="3">
        <f>D380*2/60</f>
        <v/>
      </c>
      <c r="F380" s="2" t="inlineStr">
        <is>
          <t>0001</t>
        </is>
      </c>
      <c r="G380" s="2" t="n">
        <v>5</v>
      </c>
      <c r="H380" s="2">
        <f>INDEX(Parametros!$B$2:$B$9,MATCH(G380,Parametros!$A$2:$A$9,0))</f>
        <v/>
      </c>
      <c r="I380" s="4">
        <f>1/(VALUE(MID(F380,1,1))/Parametros!$E$2+VALUE(MID(F380,2,1))/Parametros!$E$3+VALUE(MID(F380,3,1))/Parametros!$E$4+VALUE(MID(F380,4,1))/Parametros!$E$5)</f>
        <v/>
      </c>
      <c r="J380" s="5">
        <f>IF(G380=0,Parametros!$E$8,Parametros!$E$6+Parametros!$E$6*(Parametros!$E$7/G380+I380)/(Parametros!$E$6+Parametros!$E$7/G380+I380))</f>
        <v/>
      </c>
      <c r="K380" s="2" t="inlineStr">
        <is>
          <t>2026-08-10 16:15</t>
        </is>
      </c>
      <c r="L380" s="6" t="inlineStr">
        <is>
          <t>Válido</t>
        </is>
      </c>
      <c r="M380" s="2">
        <f>IF(L380="Válido","Sim","Não")</f>
        <v/>
      </c>
      <c r="N380" s="2" t="inlineStr"/>
    </row>
    <row r="381">
      <c r="A381" s="2" t="inlineStr">
        <is>
          <t>4Bracos_2700_R0001_150W_2026-08-10_16_15.csv</t>
        </is>
      </c>
      <c r="B381" s="2" t="inlineStr">
        <is>
          <t>150W_2700RPM_R0001</t>
        </is>
      </c>
      <c r="C381" s="2" t="n">
        <v>150</v>
      </c>
      <c r="D381" s="2" t="n">
        <v>2700</v>
      </c>
      <c r="E381" s="3">
        <f>D381*2/60</f>
        <v/>
      </c>
      <c r="F381" s="2" t="inlineStr">
        <is>
          <t>0001</t>
        </is>
      </c>
      <c r="G381" s="2" t="n">
        <v>4</v>
      </c>
      <c r="H381" s="2">
        <f>INDEX(Parametros!$B$2:$B$9,MATCH(G381,Parametros!$A$2:$A$9,0))</f>
        <v/>
      </c>
      <c r="I381" s="4">
        <f>1/(VALUE(MID(F381,1,1))/Parametros!$E$2+VALUE(MID(F381,2,1))/Parametros!$E$3+VALUE(MID(F381,3,1))/Parametros!$E$4+VALUE(MID(F381,4,1))/Parametros!$E$5)</f>
        <v/>
      </c>
      <c r="J381" s="5">
        <f>IF(G381=0,Parametros!$E$8,Parametros!$E$6+Parametros!$E$6*(Parametros!$E$7/G381+I381)/(Parametros!$E$6+Parametros!$E$7/G381+I381))</f>
        <v/>
      </c>
      <c r="K381" s="2" t="inlineStr">
        <is>
          <t>2026-08-10 16:15</t>
        </is>
      </c>
      <c r="L381" s="6" t="inlineStr">
        <is>
          <t>Válido</t>
        </is>
      </c>
      <c r="M381" s="2">
        <f>IF(L381="Válido","Sim","Não")</f>
        <v/>
      </c>
      <c r="N381" s="2" t="inlineStr"/>
    </row>
    <row r="382">
      <c r="A382" s="2" t="inlineStr">
        <is>
          <t>3Bracos_2700_R0001_150W_2026-08-10_16_15.csv</t>
        </is>
      </c>
      <c r="B382" s="2" t="inlineStr">
        <is>
          <t>150W_2700RPM_R0001</t>
        </is>
      </c>
      <c r="C382" s="2" t="n">
        <v>150</v>
      </c>
      <c r="D382" s="2" t="n">
        <v>2700</v>
      </c>
      <c r="E382" s="3">
        <f>D382*2/60</f>
        <v/>
      </c>
      <c r="F382" s="2" t="inlineStr">
        <is>
          <t>0001</t>
        </is>
      </c>
      <c r="G382" s="2" t="n">
        <v>3</v>
      </c>
      <c r="H382" s="2">
        <f>INDEX(Parametros!$B$2:$B$9,MATCH(G382,Parametros!$A$2:$A$9,0))</f>
        <v/>
      </c>
      <c r="I382" s="4">
        <f>1/(VALUE(MID(F382,1,1))/Parametros!$E$2+VALUE(MID(F382,2,1))/Parametros!$E$3+VALUE(MID(F382,3,1))/Parametros!$E$4+VALUE(MID(F382,4,1))/Parametros!$E$5)</f>
        <v/>
      </c>
      <c r="J382" s="5">
        <f>IF(G382=0,Parametros!$E$8,Parametros!$E$6+Parametros!$E$6*(Parametros!$E$7/G382+I382)/(Parametros!$E$6+Parametros!$E$7/G382+I382))</f>
        <v/>
      </c>
      <c r="K382" s="2" t="inlineStr">
        <is>
          <t>2026-08-10 16:15</t>
        </is>
      </c>
      <c r="L382" s="6" t="inlineStr">
        <is>
          <t>Válido</t>
        </is>
      </c>
      <c r="M382" s="2">
        <f>IF(L382="Válido","Sim","Não")</f>
        <v/>
      </c>
      <c r="N382" s="2" t="inlineStr"/>
    </row>
    <row r="383">
      <c r="A383" s="2" t="inlineStr">
        <is>
          <t>2Bracos_2700_R0001_150W_2026-08-10_16_15.csv</t>
        </is>
      </c>
      <c r="B383" s="2" t="inlineStr">
        <is>
          <t>150W_2700RPM_R0001</t>
        </is>
      </c>
      <c r="C383" s="2" t="n">
        <v>150</v>
      </c>
      <c r="D383" s="2" t="n">
        <v>2700</v>
      </c>
      <c r="E383" s="3">
        <f>D383*2/60</f>
        <v/>
      </c>
      <c r="F383" s="2" t="inlineStr">
        <is>
          <t>0001</t>
        </is>
      </c>
      <c r="G383" s="2" t="n">
        <v>2</v>
      </c>
      <c r="H383" s="2">
        <f>INDEX(Parametros!$B$2:$B$9,MATCH(G383,Parametros!$A$2:$A$9,0))</f>
        <v/>
      </c>
      <c r="I383" s="4">
        <f>1/(VALUE(MID(F383,1,1))/Parametros!$E$2+VALUE(MID(F383,2,1))/Parametros!$E$3+VALUE(MID(F383,3,1))/Parametros!$E$4+VALUE(MID(F383,4,1))/Parametros!$E$5)</f>
        <v/>
      </c>
      <c r="J383" s="5">
        <f>IF(G383=0,Parametros!$E$8,Parametros!$E$6+Parametros!$E$6*(Parametros!$E$7/G383+I383)/(Parametros!$E$6+Parametros!$E$7/G383+I383))</f>
        <v/>
      </c>
      <c r="K383" s="2" t="inlineStr">
        <is>
          <t>2026-08-10 16:15</t>
        </is>
      </c>
      <c r="L383" s="6" t="inlineStr">
        <is>
          <t>Válido</t>
        </is>
      </c>
      <c r="M383" s="2">
        <f>IF(L383="Válido","Sim","Não")</f>
        <v/>
      </c>
      <c r="N383" s="2" t="inlineStr"/>
    </row>
    <row r="384">
      <c r="A384" s="2" t="inlineStr">
        <is>
          <t>1Bracos_2700_R0001_150W_2026-08-10_16_15.csv</t>
        </is>
      </c>
      <c r="B384" s="2" t="inlineStr">
        <is>
          <t>150W_2700RPM_R0001</t>
        </is>
      </c>
      <c r="C384" s="2" t="n">
        <v>150</v>
      </c>
      <c r="D384" s="2" t="n">
        <v>2700</v>
      </c>
      <c r="E384" s="3">
        <f>D384*2/60</f>
        <v/>
      </c>
      <c r="F384" s="2" t="inlineStr">
        <is>
          <t>0001</t>
        </is>
      </c>
      <c r="G384" s="2" t="n">
        <v>1</v>
      </c>
      <c r="H384" s="2">
        <f>INDEX(Parametros!$B$2:$B$9,MATCH(G384,Parametros!$A$2:$A$9,0))</f>
        <v/>
      </c>
      <c r="I384" s="4">
        <f>1/(VALUE(MID(F384,1,1))/Parametros!$E$2+VALUE(MID(F384,2,1))/Parametros!$E$3+VALUE(MID(F384,3,1))/Parametros!$E$4+VALUE(MID(F384,4,1))/Parametros!$E$5)</f>
        <v/>
      </c>
      <c r="J384" s="5">
        <f>IF(G384=0,Parametros!$E$8,Parametros!$E$6+Parametros!$E$6*(Parametros!$E$7/G384+I384)/(Parametros!$E$6+Parametros!$E$7/G384+I384))</f>
        <v/>
      </c>
      <c r="K384" s="2" t="inlineStr">
        <is>
          <t>2026-08-10 16:15</t>
        </is>
      </c>
      <c r="L384" s="6" t="inlineStr">
        <is>
          <t>Válido</t>
        </is>
      </c>
      <c r="M384" s="2">
        <f>IF(L384="Válido","Sim","Não")</f>
        <v/>
      </c>
      <c r="N384" s="2" t="inlineStr"/>
    </row>
    <row r="385">
      <c r="A385" s="2" t="inlineStr">
        <is>
          <t>0Bracos_2700_R0001_150W_2026-08-10_16_15.csv</t>
        </is>
      </c>
      <c r="B385" s="2" t="inlineStr">
        <is>
          <t>150W_2700RPM_R0001</t>
        </is>
      </c>
      <c r="C385" s="2" t="n">
        <v>150</v>
      </c>
      <c r="D385" s="2" t="n">
        <v>2700</v>
      </c>
      <c r="E385" s="3">
        <f>D385*2/60</f>
        <v/>
      </c>
      <c r="F385" s="2" t="inlineStr">
        <is>
          <t>0001</t>
        </is>
      </c>
      <c r="G385" s="2" t="n">
        <v>0</v>
      </c>
      <c r="H385" s="2">
        <f>INDEX(Parametros!$B$2:$B$9,MATCH(G385,Parametros!$A$2:$A$9,0))</f>
        <v/>
      </c>
      <c r="I385" s="4">
        <f>1/(VALUE(MID(F385,1,1))/Parametros!$E$2+VALUE(MID(F385,2,1))/Parametros!$E$3+VALUE(MID(F385,3,1))/Parametros!$E$4+VALUE(MID(F385,4,1))/Parametros!$E$5)</f>
        <v/>
      </c>
      <c r="J385" s="5">
        <f>IF(G385=0,Parametros!$E$8,Parametros!$E$6+Parametros!$E$6*(Parametros!$E$7/G385+I385)/(Parametros!$E$6+Parametros!$E$7/G385+I385))</f>
        <v/>
      </c>
      <c r="K385" s="2" t="inlineStr">
        <is>
          <t>2026-08-10 16:15</t>
        </is>
      </c>
      <c r="L385" s="6" t="inlineStr">
        <is>
          <t>Válido</t>
        </is>
      </c>
      <c r="M385" s="2">
        <f>IF(L385="Válido","Sim","Não")</f>
        <v/>
      </c>
      <c r="N385" s="2" t="inlineStr"/>
    </row>
    <row r="386">
      <c r="A386" s="2" t="inlineStr">
        <is>
          <t>7Bracos_2700_R0010_150W_2026-08-10_16_15.csv</t>
        </is>
      </c>
      <c r="B386" s="2" t="inlineStr">
        <is>
          <t>150W_2700RPM_R0010</t>
        </is>
      </c>
      <c r="C386" s="2" t="n">
        <v>150</v>
      </c>
      <c r="D386" s="2" t="n">
        <v>2700</v>
      </c>
      <c r="E386" s="3">
        <f>D386*2/60</f>
        <v/>
      </c>
      <c r="F386" s="2" t="inlineStr">
        <is>
          <t>0010</t>
        </is>
      </c>
      <c r="G386" s="2" t="n">
        <v>7</v>
      </c>
      <c r="H386" s="2">
        <f>INDEX(Parametros!$B$2:$B$9,MATCH(G386,Parametros!$A$2:$A$9,0))</f>
        <v/>
      </c>
      <c r="I386" s="4">
        <f>1/(VALUE(MID(F386,1,1))/Parametros!$E$2+VALUE(MID(F386,2,1))/Parametros!$E$3+VALUE(MID(F386,3,1))/Parametros!$E$4+VALUE(MID(F386,4,1))/Parametros!$E$5)</f>
        <v/>
      </c>
      <c r="J386" s="5">
        <f>IF(G386=0,Parametros!$E$8,Parametros!$E$6+Parametros!$E$6*(Parametros!$E$7/G386+I386)/(Parametros!$E$6+Parametros!$E$7/G386+I386))</f>
        <v/>
      </c>
      <c r="K386" s="2" t="inlineStr">
        <is>
          <t>2026-08-10 16:15</t>
        </is>
      </c>
      <c r="L386" s="6" t="inlineStr">
        <is>
          <t>Válido</t>
        </is>
      </c>
      <c r="M386" s="2">
        <f>IF(L386="Válido","Sim","Não")</f>
        <v/>
      </c>
      <c r="N386" s="2" t="inlineStr"/>
    </row>
    <row r="387">
      <c r="A387" s="2" t="inlineStr">
        <is>
          <t>6Bracos_2700_R0010_150W_2026-08-10_16_15.csv</t>
        </is>
      </c>
      <c r="B387" s="2" t="inlineStr">
        <is>
          <t>150W_2700RPM_R0010</t>
        </is>
      </c>
      <c r="C387" s="2" t="n">
        <v>150</v>
      </c>
      <c r="D387" s="2" t="n">
        <v>2700</v>
      </c>
      <c r="E387" s="3">
        <f>D387*2/60</f>
        <v/>
      </c>
      <c r="F387" s="2" t="inlineStr">
        <is>
          <t>0010</t>
        </is>
      </c>
      <c r="G387" s="2" t="n">
        <v>6</v>
      </c>
      <c r="H387" s="2">
        <f>INDEX(Parametros!$B$2:$B$9,MATCH(G387,Parametros!$A$2:$A$9,0))</f>
        <v/>
      </c>
      <c r="I387" s="4">
        <f>1/(VALUE(MID(F387,1,1))/Parametros!$E$2+VALUE(MID(F387,2,1))/Parametros!$E$3+VALUE(MID(F387,3,1))/Parametros!$E$4+VALUE(MID(F387,4,1))/Parametros!$E$5)</f>
        <v/>
      </c>
      <c r="J387" s="5">
        <f>IF(G387=0,Parametros!$E$8,Parametros!$E$6+Parametros!$E$6*(Parametros!$E$7/G387+I387)/(Parametros!$E$6+Parametros!$E$7/G387+I387))</f>
        <v/>
      </c>
      <c r="K387" s="2" t="inlineStr">
        <is>
          <t>2026-08-10 16:15</t>
        </is>
      </c>
      <c r="L387" s="6" t="inlineStr">
        <is>
          <t>Válido</t>
        </is>
      </c>
      <c r="M387" s="2">
        <f>IF(L387="Válido","Sim","Não")</f>
        <v/>
      </c>
      <c r="N387" s="2" t="inlineStr"/>
    </row>
    <row r="388">
      <c r="A388" s="2" t="inlineStr">
        <is>
          <t>5Bracos_2700_R0010_150W_2026-08-10_16_15.csv</t>
        </is>
      </c>
      <c r="B388" s="2" t="inlineStr">
        <is>
          <t>150W_2700RPM_R0010</t>
        </is>
      </c>
      <c r="C388" s="2" t="n">
        <v>150</v>
      </c>
      <c r="D388" s="2" t="n">
        <v>2700</v>
      </c>
      <c r="E388" s="3">
        <f>D388*2/60</f>
        <v/>
      </c>
      <c r="F388" s="2" t="inlineStr">
        <is>
          <t>0010</t>
        </is>
      </c>
      <c r="G388" s="2" t="n">
        <v>5</v>
      </c>
      <c r="H388" s="2">
        <f>INDEX(Parametros!$B$2:$B$9,MATCH(G388,Parametros!$A$2:$A$9,0))</f>
        <v/>
      </c>
      <c r="I388" s="4">
        <f>1/(VALUE(MID(F388,1,1))/Parametros!$E$2+VALUE(MID(F388,2,1))/Parametros!$E$3+VALUE(MID(F388,3,1))/Parametros!$E$4+VALUE(MID(F388,4,1))/Parametros!$E$5)</f>
        <v/>
      </c>
      <c r="J388" s="5">
        <f>IF(G388=0,Parametros!$E$8,Parametros!$E$6+Parametros!$E$6*(Parametros!$E$7/G388+I388)/(Parametros!$E$6+Parametros!$E$7/G388+I388))</f>
        <v/>
      </c>
      <c r="K388" s="2" t="inlineStr">
        <is>
          <t>2026-08-10 16:15</t>
        </is>
      </c>
      <c r="L388" s="6" t="inlineStr">
        <is>
          <t>Válido</t>
        </is>
      </c>
      <c r="M388" s="2">
        <f>IF(L388="Válido","Sim","Não")</f>
        <v/>
      </c>
      <c r="N388" s="2" t="inlineStr"/>
    </row>
    <row r="389">
      <c r="A389" s="2" t="inlineStr">
        <is>
          <t>4Bracos_2700_R0010_150W_2026-08-10_16_15.csv</t>
        </is>
      </c>
      <c r="B389" s="2" t="inlineStr">
        <is>
          <t>150W_2700RPM_R0010</t>
        </is>
      </c>
      <c r="C389" s="2" t="n">
        <v>150</v>
      </c>
      <c r="D389" s="2" t="n">
        <v>2700</v>
      </c>
      <c r="E389" s="3">
        <f>D389*2/60</f>
        <v/>
      </c>
      <c r="F389" s="2" t="inlineStr">
        <is>
          <t>0010</t>
        </is>
      </c>
      <c r="G389" s="2" t="n">
        <v>4</v>
      </c>
      <c r="H389" s="2">
        <f>INDEX(Parametros!$B$2:$B$9,MATCH(G389,Parametros!$A$2:$A$9,0))</f>
        <v/>
      </c>
      <c r="I389" s="4">
        <f>1/(VALUE(MID(F389,1,1))/Parametros!$E$2+VALUE(MID(F389,2,1))/Parametros!$E$3+VALUE(MID(F389,3,1))/Parametros!$E$4+VALUE(MID(F389,4,1))/Parametros!$E$5)</f>
        <v/>
      </c>
      <c r="J389" s="5">
        <f>IF(G389=0,Parametros!$E$8,Parametros!$E$6+Parametros!$E$6*(Parametros!$E$7/G389+I389)/(Parametros!$E$6+Parametros!$E$7/G389+I389))</f>
        <v/>
      </c>
      <c r="K389" s="2" t="inlineStr">
        <is>
          <t>2026-08-10 16:15</t>
        </is>
      </c>
      <c r="L389" s="6" t="inlineStr">
        <is>
          <t>Válido</t>
        </is>
      </c>
      <c r="M389" s="2">
        <f>IF(L389="Válido","Sim","Não")</f>
        <v/>
      </c>
      <c r="N389" s="2" t="inlineStr"/>
    </row>
    <row r="390">
      <c r="A390" s="2" t="inlineStr">
        <is>
          <t>3Bracos_2700_R0010_150W_2026-08-10_16_15.csv</t>
        </is>
      </c>
      <c r="B390" s="2" t="inlineStr">
        <is>
          <t>150W_2700RPM_R0010</t>
        </is>
      </c>
      <c r="C390" s="2" t="n">
        <v>150</v>
      </c>
      <c r="D390" s="2" t="n">
        <v>2700</v>
      </c>
      <c r="E390" s="3">
        <f>D390*2/60</f>
        <v/>
      </c>
      <c r="F390" s="2" t="inlineStr">
        <is>
          <t>0010</t>
        </is>
      </c>
      <c r="G390" s="2" t="n">
        <v>3</v>
      </c>
      <c r="H390" s="2">
        <f>INDEX(Parametros!$B$2:$B$9,MATCH(G390,Parametros!$A$2:$A$9,0))</f>
        <v/>
      </c>
      <c r="I390" s="4">
        <f>1/(VALUE(MID(F390,1,1))/Parametros!$E$2+VALUE(MID(F390,2,1))/Parametros!$E$3+VALUE(MID(F390,3,1))/Parametros!$E$4+VALUE(MID(F390,4,1))/Parametros!$E$5)</f>
        <v/>
      </c>
      <c r="J390" s="5">
        <f>IF(G390=0,Parametros!$E$8,Parametros!$E$6+Parametros!$E$6*(Parametros!$E$7/G390+I390)/(Parametros!$E$6+Parametros!$E$7/G390+I390))</f>
        <v/>
      </c>
      <c r="K390" s="2" t="inlineStr">
        <is>
          <t>2026-08-10 16:15</t>
        </is>
      </c>
      <c r="L390" s="6" t="inlineStr">
        <is>
          <t>Válido</t>
        </is>
      </c>
      <c r="M390" s="2">
        <f>IF(L390="Válido","Sim","Não")</f>
        <v/>
      </c>
      <c r="N390" s="2" t="inlineStr"/>
    </row>
    <row r="391">
      <c r="A391" s="2" t="inlineStr">
        <is>
          <t>2Bracos_2700_R0010_150W_2026-08-10_16_15.csv</t>
        </is>
      </c>
      <c r="B391" s="2" t="inlineStr">
        <is>
          <t>150W_2700RPM_R0010</t>
        </is>
      </c>
      <c r="C391" s="2" t="n">
        <v>150</v>
      </c>
      <c r="D391" s="2" t="n">
        <v>2700</v>
      </c>
      <c r="E391" s="3">
        <f>D391*2/60</f>
        <v/>
      </c>
      <c r="F391" s="2" t="inlineStr">
        <is>
          <t>0010</t>
        </is>
      </c>
      <c r="G391" s="2" t="n">
        <v>2</v>
      </c>
      <c r="H391" s="2">
        <f>INDEX(Parametros!$B$2:$B$9,MATCH(G391,Parametros!$A$2:$A$9,0))</f>
        <v/>
      </c>
      <c r="I391" s="4">
        <f>1/(VALUE(MID(F391,1,1))/Parametros!$E$2+VALUE(MID(F391,2,1))/Parametros!$E$3+VALUE(MID(F391,3,1))/Parametros!$E$4+VALUE(MID(F391,4,1))/Parametros!$E$5)</f>
        <v/>
      </c>
      <c r="J391" s="5">
        <f>IF(G391=0,Parametros!$E$8,Parametros!$E$6+Parametros!$E$6*(Parametros!$E$7/G391+I391)/(Parametros!$E$6+Parametros!$E$7/G391+I391))</f>
        <v/>
      </c>
      <c r="K391" s="2" t="inlineStr">
        <is>
          <t>2026-08-10 16:15</t>
        </is>
      </c>
      <c r="L391" s="6" t="inlineStr">
        <is>
          <t>Válido</t>
        </is>
      </c>
      <c r="M391" s="2">
        <f>IF(L391="Válido","Sim","Não")</f>
        <v/>
      </c>
      <c r="N391" s="2" t="inlineStr"/>
    </row>
    <row r="392">
      <c r="A392" s="2" t="inlineStr">
        <is>
          <t>1Bracos_2700_R0010_150W_2026-08-10_16_15.csv</t>
        </is>
      </c>
      <c r="B392" s="2" t="inlineStr">
        <is>
          <t>150W_2700RPM_R0010</t>
        </is>
      </c>
      <c r="C392" s="2" t="n">
        <v>150</v>
      </c>
      <c r="D392" s="2" t="n">
        <v>2700</v>
      </c>
      <c r="E392" s="3">
        <f>D392*2/60</f>
        <v/>
      </c>
      <c r="F392" s="2" t="inlineStr">
        <is>
          <t>0010</t>
        </is>
      </c>
      <c r="G392" s="2" t="n">
        <v>1</v>
      </c>
      <c r="H392" s="2">
        <f>INDEX(Parametros!$B$2:$B$9,MATCH(G392,Parametros!$A$2:$A$9,0))</f>
        <v/>
      </c>
      <c r="I392" s="4">
        <f>1/(VALUE(MID(F392,1,1))/Parametros!$E$2+VALUE(MID(F392,2,1))/Parametros!$E$3+VALUE(MID(F392,3,1))/Parametros!$E$4+VALUE(MID(F392,4,1))/Parametros!$E$5)</f>
        <v/>
      </c>
      <c r="J392" s="5">
        <f>IF(G392=0,Parametros!$E$8,Parametros!$E$6+Parametros!$E$6*(Parametros!$E$7/G392+I392)/(Parametros!$E$6+Parametros!$E$7/G392+I392))</f>
        <v/>
      </c>
      <c r="K392" s="2" t="inlineStr">
        <is>
          <t>2026-08-10 16:15</t>
        </is>
      </c>
      <c r="L392" s="6" t="inlineStr">
        <is>
          <t>Válido</t>
        </is>
      </c>
      <c r="M392" s="2">
        <f>IF(L392="Válido","Sim","Não")</f>
        <v/>
      </c>
      <c r="N392" s="2" t="inlineStr"/>
    </row>
    <row r="393">
      <c r="A393" s="2" t="inlineStr">
        <is>
          <t>0Bracos_2700_R0010_150W_2026-08-10_16_15.csv</t>
        </is>
      </c>
      <c r="B393" s="2" t="inlineStr">
        <is>
          <t>150W_2700RPM_R0010</t>
        </is>
      </c>
      <c r="C393" s="2" t="n">
        <v>150</v>
      </c>
      <c r="D393" s="2" t="n">
        <v>2700</v>
      </c>
      <c r="E393" s="3">
        <f>D393*2/60</f>
        <v/>
      </c>
      <c r="F393" s="2" t="inlineStr">
        <is>
          <t>0010</t>
        </is>
      </c>
      <c r="G393" s="2" t="n">
        <v>0</v>
      </c>
      <c r="H393" s="2">
        <f>INDEX(Parametros!$B$2:$B$9,MATCH(G393,Parametros!$A$2:$A$9,0))</f>
        <v/>
      </c>
      <c r="I393" s="4">
        <f>1/(VALUE(MID(F393,1,1))/Parametros!$E$2+VALUE(MID(F393,2,1))/Parametros!$E$3+VALUE(MID(F393,3,1))/Parametros!$E$4+VALUE(MID(F393,4,1))/Parametros!$E$5)</f>
        <v/>
      </c>
      <c r="J393" s="5">
        <f>IF(G393=0,Parametros!$E$8,Parametros!$E$6+Parametros!$E$6*(Parametros!$E$7/G393+I393)/(Parametros!$E$6+Parametros!$E$7/G393+I393))</f>
        <v/>
      </c>
      <c r="K393" s="2" t="inlineStr">
        <is>
          <t>2026-08-10 16:15</t>
        </is>
      </c>
      <c r="L393" s="6" t="inlineStr">
        <is>
          <t>Válido</t>
        </is>
      </c>
      <c r="M393" s="2">
        <f>IF(L393="Válido","Sim","Não")</f>
        <v/>
      </c>
      <c r="N393" s="2" t="inlineStr"/>
    </row>
    <row r="394">
      <c r="A394" s="2" t="inlineStr">
        <is>
          <t>7Bracos_2700_R0011_150W_2026-08-10_16_15.csv</t>
        </is>
      </c>
      <c r="B394" s="2" t="inlineStr">
        <is>
          <t>150W_2700RPM_R0011</t>
        </is>
      </c>
      <c r="C394" s="2" t="n">
        <v>150</v>
      </c>
      <c r="D394" s="2" t="n">
        <v>2700</v>
      </c>
      <c r="E394" s="3">
        <f>D394*2/60</f>
        <v/>
      </c>
      <c r="F394" s="2" t="inlineStr">
        <is>
          <t>0011</t>
        </is>
      </c>
      <c r="G394" s="2" t="n">
        <v>7</v>
      </c>
      <c r="H394" s="2">
        <f>INDEX(Parametros!$B$2:$B$9,MATCH(G394,Parametros!$A$2:$A$9,0))</f>
        <v/>
      </c>
      <c r="I394" s="4">
        <f>1/(VALUE(MID(F394,1,1))/Parametros!$E$2+VALUE(MID(F394,2,1))/Parametros!$E$3+VALUE(MID(F394,3,1))/Parametros!$E$4+VALUE(MID(F394,4,1))/Parametros!$E$5)</f>
        <v/>
      </c>
      <c r="J394" s="5">
        <f>IF(G394=0,Parametros!$E$8,Parametros!$E$6+Parametros!$E$6*(Parametros!$E$7/G394+I394)/(Parametros!$E$6+Parametros!$E$7/G394+I394))</f>
        <v/>
      </c>
      <c r="K394" s="2" t="inlineStr">
        <is>
          <t>2026-08-10 16:15</t>
        </is>
      </c>
      <c r="L394" s="6" t="inlineStr">
        <is>
          <t>Válido</t>
        </is>
      </c>
      <c r="M394" s="2">
        <f>IF(L394="Válido","Sim","Não")</f>
        <v/>
      </c>
      <c r="N394" s="2" t="inlineStr"/>
    </row>
    <row r="395">
      <c r="A395" s="2" t="inlineStr">
        <is>
          <t>6Bracos_2700_R0011_150W_2026-08-10_16_15.csv</t>
        </is>
      </c>
      <c r="B395" s="2" t="inlineStr">
        <is>
          <t>150W_2700RPM_R0011</t>
        </is>
      </c>
      <c r="C395" s="2" t="n">
        <v>150</v>
      </c>
      <c r="D395" s="2" t="n">
        <v>2700</v>
      </c>
      <c r="E395" s="3">
        <f>D395*2/60</f>
        <v/>
      </c>
      <c r="F395" s="2" t="inlineStr">
        <is>
          <t>0011</t>
        </is>
      </c>
      <c r="G395" s="2" t="n">
        <v>6</v>
      </c>
      <c r="H395" s="2">
        <f>INDEX(Parametros!$B$2:$B$9,MATCH(G395,Parametros!$A$2:$A$9,0))</f>
        <v/>
      </c>
      <c r="I395" s="4">
        <f>1/(VALUE(MID(F395,1,1))/Parametros!$E$2+VALUE(MID(F395,2,1))/Parametros!$E$3+VALUE(MID(F395,3,1))/Parametros!$E$4+VALUE(MID(F395,4,1))/Parametros!$E$5)</f>
        <v/>
      </c>
      <c r="J395" s="5">
        <f>IF(G395=0,Parametros!$E$8,Parametros!$E$6+Parametros!$E$6*(Parametros!$E$7/G395+I395)/(Parametros!$E$6+Parametros!$E$7/G395+I395))</f>
        <v/>
      </c>
      <c r="K395" s="2" t="inlineStr">
        <is>
          <t>2026-08-10 16:15</t>
        </is>
      </c>
      <c r="L395" s="6" t="inlineStr">
        <is>
          <t>Válido</t>
        </is>
      </c>
      <c r="M395" s="2">
        <f>IF(L395="Válido","Sim","Não")</f>
        <v/>
      </c>
      <c r="N395" s="2" t="inlineStr"/>
    </row>
    <row r="396">
      <c r="A396" s="2" t="inlineStr">
        <is>
          <t>5Bracos_2700_R0011_150W_2026-08-10_16_15.csv</t>
        </is>
      </c>
      <c r="B396" s="2" t="inlineStr">
        <is>
          <t>150W_2700RPM_R0011</t>
        </is>
      </c>
      <c r="C396" s="2" t="n">
        <v>150</v>
      </c>
      <c r="D396" s="2" t="n">
        <v>2700</v>
      </c>
      <c r="E396" s="3">
        <f>D396*2/60</f>
        <v/>
      </c>
      <c r="F396" s="2" t="inlineStr">
        <is>
          <t>0011</t>
        </is>
      </c>
      <c r="G396" s="2" t="n">
        <v>5</v>
      </c>
      <c r="H396" s="2">
        <f>INDEX(Parametros!$B$2:$B$9,MATCH(G396,Parametros!$A$2:$A$9,0))</f>
        <v/>
      </c>
      <c r="I396" s="4">
        <f>1/(VALUE(MID(F396,1,1))/Parametros!$E$2+VALUE(MID(F396,2,1))/Parametros!$E$3+VALUE(MID(F396,3,1))/Parametros!$E$4+VALUE(MID(F396,4,1))/Parametros!$E$5)</f>
        <v/>
      </c>
      <c r="J396" s="5">
        <f>IF(G396=0,Parametros!$E$8,Parametros!$E$6+Parametros!$E$6*(Parametros!$E$7/G396+I396)/(Parametros!$E$6+Parametros!$E$7/G396+I396))</f>
        <v/>
      </c>
      <c r="K396" s="2" t="inlineStr">
        <is>
          <t>2026-08-10 16:15</t>
        </is>
      </c>
      <c r="L396" s="6" t="inlineStr">
        <is>
          <t>Válido</t>
        </is>
      </c>
      <c r="M396" s="2">
        <f>IF(L396="Válido","Sim","Não")</f>
        <v/>
      </c>
      <c r="N396" s="2" t="inlineStr"/>
    </row>
    <row r="397">
      <c r="A397" s="2" t="inlineStr">
        <is>
          <t>4Bracos_2700_R0011_150W_2026-08-10_16_15.csv</t>
        </is>
      </c>
      <c r="B397" s="2" t="inlineStr">
        <is>
          <t>150W_2700RPM_R0011</t>
        </is>
      </c>
      <c r="C397" s="2" t="n">
        <v>150</v>
      </c>
      <c r="D397" s="2" t="n">
        <v>2700</v>
      </c>
      <c r="E397" s="3">
        <f>D397*2/60</f>
        <v/>
      </c>
      <c r="F397" s="2" t="inlineStr">
        <is>
          <t>0011</t>
        </is>
      </c>
      <c r="G397" s="2" t="n">
        <v>4</v>
      </c>
      <c r="H397" s="2">
        <f>INDEX(Parametros!$B$2:$B$9,MATCH(G397,Parametros!$A$2:$A$9,0))</f>
        <v/>
      </c>
      <c r="I397" s="4">
        <f>1/(VALUE(MID(F397,1,1))/Parametros!$E$2+VALUE(MID(F397,2,1))/Parametros!$E$3+VALUE(MID(F397,3,1))/Parametros!$E$4+VALUE(MID(F397,4,1))/Parametros!$E$5)</f>
        <v/>
      </c>
      <c r="J397" s="5">
        <f>IF(G397=0,Parametros!$E$8,Parametros!$E$6+Parametros!$E$6*(Parametros!$E$7/G397+I397)/(Parametros!$E$6+Parametros!$E$7/G397+I397))</f>
        <v/>
      </c>
      <c r="K397" s="2" t="inlineStr">
        <is>
          <t>2026-08-10 16:15</t>
        </is>
      </c>
      <c r="L397" s="6" t="inlineStr">
        <is>
          <t>Válido</t>
        </is>
      </c>
      <c r="M397" s="2">
        <f>IF(L397="Válido","Sim","Não")</f>
        <v/>
      </c>
      <c r="N397" s="2" t="inlineStr"/>
    </row>
    <row r="398">
      <c r="A398" s="2" t="inlineStr">
        <is>
          <t>3Bracos_2700_R0011_150W_2026-08-10_16_15.csv</t>
        </is>
      </c>
      <c r="B398" s="2" t="inlineStr">
        <is>
          <t>150W_2700RPM_R0011</t>
        </is>
      </c>
      <c r="C398" s="2" t="n">
        <v>150</v>
      </c>
      <c r="D398" s="2" t="n">
        <v>2700</v>
      </c>
      <c r="E398" s="3">
        <f>D398*2/60</f>
        <v/>
      </c>
      <c r="F398" s="2" t="inlineStr">
        <is>
          <t>0011</t>
        </is>
      </c>
      <c r="G398" s="2" t="n">
        <v>3</v>
      </c>
      <c r="H398" s="2">
        <f>INDEX(Parametros!$B$2:$B$9,MATCH(G398,Parametros!$A$2:$A$9,0))</f>
        <v/>
      </c>
      <c r="I398" s="4">
        <f>1/(VALUE(MID(F398,1,1))/Parametros!$E$2+VALUE(MID(F398,2,1))/Parametros!$E$3+VALUE(MID(F398,3,1))/Parametros!$E$4+VALUE(MID(F398,4,1))/Parametros!$E$5)</f>
        <v/>
      </c>
      <c r="J398" s="5">
        <f>IF(G398=0,Parametros!$E$8,Parametros!$E$6+Parametros!$E$6*(Parametros!$E$7/G398+I398)/(Parametros!$E$6+Parametros!$E$7/G398+I398))</f>
        <v/>
      </c>
      <c r="K398" s="2" t="inlineStr">
        <is>
          <t>2026-08-10 16:15</t>
        </is>
      </c>
      <c r="L398" s="6" t="inlineStr">
        <is>
          <t>Válido</t>
        </is>
      </c>
      <c r="M398" s="2">
        <f>IF(L398="Válido","Sim","Não")</f>
        <v/>
      </c>
      <c r="N398" s="2" t="inlineStr"/>
    </row>
    <row r="399">
      <c r="A399" s="2" t="inlineStr">
        <is>
          <t>2Bracos_2700_R0011_150W_2026-08-10_16_15.csv</t>
        </is>
      </c>
      <c r="B399" s="2" t="inlineStr">
        <is>
          <t>150W_2700RPM_R0011</t>
        </is>
      </c>
      <c r="C399" s="2" t="n">
        <v>150</v>
      </c>
      <c r="D399" s="2" t="n">
        <v>2700</v>
      </c>
      <c r="E399" s="3">
        <f>D399*2/60</f>
        <v/>
      </c>
      <c r="F399" s="2" t="inlineStr">
        <is>
          <t>0011</t>
        </is>
      </c>
      <c r="G399" s="2" t="n">
        <v>2</v>
      </c>
      <c r="H399" s="2">
        <f>INDEX(Parametros!$B$2:$B$9,MATCH(G399,Parametros!$A$2:$A$9,0))</f>
        <v/>
      </c>
      <c r="I399" s="4">
        <f>1/(VALUE(MID(F399,1,1))/Parametros!$E$2+VALUE(MID(F399,2,1))/Parametros!$E$3+VALUE(MID(F399,3,1))/Parametros!$E$4+VALUE(MID(F399,4,1))/Parametros!$E$5)</f>
        <v/>
      </c>
      <c r="J399" s="5">
        <f>IF(G399=0,Parametros!$E$8,Parametros!$E$6+Parametros!$E$6*(Parametros!$E$7/G399+I399)/(Parametros!$E$6+Parametros!$E$7/G399+I399))</f>
        <v/>
      </c>
      <c r="K399" s="2" t="inlineStr">
        <is>
          <t>2026-08-10 16:15</t>
        </is>
      </c>
      <c r="L399" s="6" t="inlineStr">
        <is>
          <t>Válido</t>
        </is>
      </c>
      <c r="M399" s="2">
        <f>IF(L399="Válido","Sim","Não")</f>
        <v/>
      </c>
      <c r="N399" s="2" t="inlineStr"/>
    </row>
    <row r="400">
      <c r="A400" s="2" t="inlineStr">
        <is>
          <t>1Bracos_2700_R0011_150W_2026-08-10_16_15.csv</t>
        </is>
      </c>
      <c r="B400" s="2" t="inlineStr">
        <is>
          <t>150W_2700RPM_R0011</t>
        </is>
      </c>
      <c r="C400" s="2" t="n">
        <v>150</v>
      </c>
      <c r="D400" s="2" t="n">
        <v>2700</v>
      </c>
      <c r="E400" s="3">
        <f>D400*2/60</f>
        <v/>
      </c>
      <c r="F400" s="2" t="inlineStr">
        <is>
          <t>0011</t>
        </is>
      </c>
      <c r="G400" s="2" t="n">
        <v>1</v>
      </c>
      <c r="H400" s="2">
        <f>INDEX(Parametros!$B$2:$B$9,MATCH(G400,Parametros!$A$2:$A$9,0))</f>
        <v/>
      </c>
      <c r="I400" s="4">
        <f>1/(VALUE(MID(F400,1,1))/Parametros!$E$2+VALUE(MID(F400,2,1))/Parametros!$E$3+VALUE(MID(F400,3,1))/Parametros!$E$4+VALUE(MID(F400,4,1))/Parametros!$E$5)</f>
        <v/>
      </c>
      <c r="J400" s="5">
        <f>IF(G400=0,Parametros!$E$8,Parametros!$E$6+Parametros!$E$6*(Parametros!$E$7/G400+I400)/(Parametros!$E$6+Parametros!$E$7/G400+I400))</f>
        <v/>
      </c>
      <c r="K400" s="2" t="inlineStr">
        <is>
          <t>2026-08-10 16:15</t>
        </is>
      </c>
      <c r="L400" s="6" t="inlineStr">
        <is>
          <t>Válido</t>
        </is>
      </c>
      <c r="M400" s="2">
        <f>IF(L400="Válido","Sim","Não")</f>
        <v/>
      </c>
      <c r="N400" s="2" t="inlineStr"/>
    </row>
    <row r="401">
      <c r="A401" s="2" t="inlineStr">
        <is>
          <t>0Bracos_2700_R0011_150W_2026-08-10_16_15.csv</t>
        </is>
      </c>
      <c r="B401" s="2" t="inlineStr">
        <is>
          <t>150W_2700RPM_R0011</t>
        </is>
      </c>
      <c r="C401" s="2" t="n">
        <v>150</v>
      </c>
      <c r="D401" s="2" t="n">
        <v>2700</v>
      </c>
      <c r="E401" s="3">
        <f>D401*2/60</f>
        <v/>
      </c>
      <c r="F401" s="2" t="inlineStr">
        <is>
          <t>0011</t>
        </is>
      </c>
      <c r="G401" s="2" t="n">
        <v>0</v>
      </c>
      <c r="H401" s="2">
        <f>INDEX(Parametros!$B$2:$B$9,MATCH(G401,Parametros!$A$2:$A$9,0))</f>
        <v/>
      </c>
      <c r="I401" s="4">
        <f>1/(VALUE(MID(F401,1,1))/Parametros!$E$2+VALUE(MID(F401,2,1))/Parametros!$E$3+VALUE(MID(F401,3,1))/Parametros!$E$4+VALUE(MID(F401,4,1))/Parametros!$E$5)</f>
        <v/>
      </c>
      <c r="J401" s="5">
        <f>IF(G401=0,Parametros!$E$8,Parametros!$E$6+Parametros!$E$6*(Parametros!$E$7/G401+I401)/(Parametros!$E$6+Parametros!$E$7/G401+I401))</f>
        <v/>
      </c>
      <c r="K401" s="2" t="inlineStr">
        <is>
          <t>2026-08-10 16:15</t>
        </is>
      </c>
      <c r="L401" s="6" t="inlineStr">
        <is>
          <t>Válido</t>
        </is>
      </c>
      <c r="M401" s="2">
        <f>IF(L401="Válido","Sim","Não")</f>
        <v/>
      </c>
      <c r="N401" s="2" t="inlineStr"/>
    </row>
    <row r="402">
      <c r="A402" s="2" t="inlineStr">
        <is>
          <t>7Bracos_2700_R0100_150W_2026-08-10_16_15.csv</t>
        </is>
      </c>
      <c r="B402" s="2" t="inlineStr">
        <is>
          <t>150W_2700RPM_R0100</t>
        </is>
      </c>
      <c r="C402" s="2" t="n">
        <v>150</v>
      </c>
      <c r="D402" s="2" t="n">
        <v>2700</v>
      </c>
      <c r="E402" s="3">
        <f>D402*2/60</f>
        <v/>
      </c>
      <c r="F402" s="2" t="inlineStr">
        <is>
          <t>0100</t>
        </is>
      </c>
      <c r="G402" s="2" t="n">
        <v>7</v>
      </c>
      <c r="H402" s="2">
        <f>INDEX(Parametros!$B$2:$B$9,MATCH(G402,Parametros!$A$2:$A$9,0))</f>
        <v/>
      </c>
      <c r="I402" s="4">
        <f>1/(VALUE(MID(F402,1,1))/Parametros!$E$2+VALUE(MID(F402,2,1))/Parametros!$E$3+VALUE(MID(F402,3,1))/Parametros!$E$4+VALUE(MID(F402,4,1))/Parametros!$E$5)</f>
        <v/>
      </c>
      <c r="J402" s="5">
        <f>IF(G402=0,Parametros!$E$8,Parametros!$E$6+Parametros!$E$6*(Parametros!$E$7/G402+I402)/(Parametros!$E$6+Parametros!$E$7/G402+I402))</f>
        <v/>
      </c>
      <c r="K402" s="2" t="inlineStr">
        <is>
          <t>2026-08-10 16:15</t>
        </is>
      </c>
      <c r="L402" s="6" t="inlineStr">
        <is>
          <t>Válido</t>
        </is>
      </c>
      <c r="M402" s="2">
        <f>IF(L402="Válido","Sim","Não")</f>
        <v/>
      </c>
      <c r="N402" s="2" t="inlineStr"/>
    </row>
    <row r="403">
      <c r="A403" s="2" t="inlineStr">
        <is>
          <t>6Bracos_2700_R0100_150W_2026-08-10_16_15.csv</t>
        </is>
      </c>
      <c r="B403" s="2" t="inlineStr">
        <is>
          <t>150W_2700RPM_R0100</t>
        </is>
      </c>
      <c r="C403" s="2" t="n">
        <v>150</v>
      </c>
      <c r="D403" s="2" t="n">
        <v>2700</v>
      </c>
      <c r="E403" s="3">
        <f>D403*2/60</f>
        <v/>
      </c>
      <c r="F403" s="2" t="inlineStr">
        <is>
          <t>0100</t>
        </is>
      </c>
      <c r="G403" s="2" t="n">
        <v>6</v>
      </c>
      <c r="H403" s="2">
        <f>INDEX(Parametros!$B$2:$B$9,MATCH(G403,Parametros!$A$2:$A$9,0))</f>
        <v/>
      </c>
      <c r="I403" s="4">
        <f>1/(VALUE(MID(F403,1,1))/Parametros!$E$2+VALUE(MID(F403,2,1))/Parametros!$E$3+VALUE(MID(F403,3,1))/Parametros!$E$4+VALUE(MID(F403,4,1))/Parametros!$E$5)</f>
        <v/>
      </c>
      <c r="J403" s="5">
        <f>IF(G403=0,Parametros!$E$8,Parametros!$E$6+Parametros!$E$6*(Parametros!$E$7/G403+I403)/(Parametros!$E$6+Parametros!$E$7/G403+I403))</f>
        <v/>
      </c>
      <c r="K403" s="2" t="inlineStr">
        <is>
          <t>2026-08-10 16:15</t>
        </is>
      </c>
      <c r="L403" s="6" t="inlineStr">
        <is>
          <t>Válido</t>
        </is>
      </c>
      <c r="M403" s="2">
        <f>IF(L403="Válido","Sim","Não")</f>
        <v/>
      </c>
      <c r="N403" s="2" t="inlineStr"/>
    </row>
    <row r="404">
      <c r="A404" s="2" t="inlineStr">
        <is>
          <t>5Bracos_2700_R0100_150W_2026-08-10_16_15.csv</t>
        </is>
      </c>
      <c r="B404" s="2" t="inlineStr">
        <is>
          <t>150W_2700RPM_R0100</t>
        </is>
      </c>
      <c r="C404" s="2" t="n">
        <v>150</v>
      </c>
      <c r="D404" s="2" t="n">
        <v>2700</v>
      </c>
      <c r="E404" s="3">
        <f>D404*2/60</f>
        <v/>
      </c>
      <c r="F404" s="2" t="inlineStr">
        <is>
          <t>0100</t>
        </is>
      </c>
      <c r="G404" s="2" t="n">
        <v>5</v>
      </c>
      <c r="H404" s="2">
        <f>INDEX(Parametros!$B$2:$B$9,MATCH(G404,Parametros!$A$2:$A$9,0))</f>
        <v/>
      </c>
      <c r="I404" s="4">
        <f>1/(VALUE(MID(F404,1,1))/Parametros!$E$2+VALUE(MID(F404,2,1))/Parametros!$E$3+VALUE(MID(F404,3,1))/Parametros!$E$4+VALUE(MID(F404,4,1))/Parametros!$E$5)</f>
        <v/>
      </c>
      <c r="J404" s="5">
        <f>IF(G404=0,Parametros!$E$8,Parametros!$E$6+Parametros!$E$6*(Parametros!$E$7/G404+I404)/(Parametros!$E$6+Parametros!$E$7/G404+I404))</f>
        <v/>
      </c>
      <c r="K404" s="2" t="inlineStr">
        <is>
          <t>2026-08-10 16:15</t>
        </is>
      </c>
      <c r="L404" s="6" t="inlineStr">
        <is>
          <t>Válido</t>
        </is>
      </c>
      <c r="M404" s="2">
        <f>IF(L404="Válido","Sim","Não")</f>
        <v/>
      </c>
      <c r="N404" s="2" t="inlineStr"/>
    </row>
    <row r="405">
      <c r="A405" s="2" t="inlineStr">
        <is>
          <t>4Bracos_2700_R0100_150W_2026-08-10_16_15.csv</t>
        </is>
      </c>
      <c r="B405" s="2" t="inlineStr">
        <is>
          <t>150W_2700RPM_R0100</t>
        </is>
      </c>
      <c r="C405" s="2" t="n">
        <v>150</v>
      </c>
      <c r="D405" s="2" t="n">
        <v>2700</v>
      </c>
      <c r="E405" s="3">
        <f>D405*2/60</f>
        <v/>
      </c>
      <c r="F405" s="2" t="inlineStr">
        <is>
          <t>0100</t>
        </is>
      </c>
      <c r="G405" s="2" t="n">
        <v>4</v>
      </c>
      <c r="H405" s="2">
        <f>INDEX(Parametros!$B$2:$B$9,MATCH(G405,Parametros!$A$2:$A$9,0))</f>
        <v/>
      </c>
      <c r="I405" s="4">
        <f>1/(VALUE(MID(F405,1,1))/Parametros!$E$2+VALUE(MID(F405,2,1))/Parametros!$E$3+VALUE(MID(F405,3,1))/Parametros!$E$4+VALUE(MID(F405,4,1))/Parametros!$E$5)</f>
        <v/>
      </c>
      <c r="J405" s="5">
        <f>IF(G405=0,Parametros!$E$8,Parametros!$E$6+Parametros!$E$6*(Parametros!$E$7/G405+I405)/(Parametros!$E$6+Parametros!$E$7/G405+I405))</f>
        <v/>
      </c>
      <c r="K405" s="2" t="inlineStr">
        <is>
          <t>2026-08-10 16:15</t>
        </is>
      </c>
      <c r="L405" s="6" t="inlineStr">
        <is>
          <t>Válido</t>
        </is>
      </c>
      <c r="M405" s="2">
        <f>IF(L405="Válido","Sim","Não")</f>
        <v/>
      </c>
      <c r="N405" s="2" t="inlineStr"/>
    </row>
    <row r="406">
      <c r="A406" s="2" t="inlineStr">
        <is>
          <t>3Bracos_2700_R0100_150W_2026-08-10_16_15.csv</t>
        </is>
      </c>
      <c r="B406" s="2" t="inlineStr">
        <is>
          <t>150W_2700RPM_R0100</t>
        </is>
      </c>
      <c r="C406" s="2" t="n">
        <v>150</v>
      </c>
      <c r="D406" s="2" t="n">
        <v>2700</v>
      </c>
      <c r="E406" s="3">
        <f>D406*2/60</f>
        <v/>
      </c>
      <c r="F406" s="2" t="inlineStr">
        <is>
          <t>0100</t>
        </is>
      </c>
      <c r="G406" s="2" t="n">
        <v>3</v>
      </c>
      <c r="H406" s="2">
        <f>INDEX(Parametros!$B$2:$B$9,MATCH(G406,Parametros!$A$2:$A$9,0))</f>
        <v/>
      </c>
      <c r="I406" s="4">
        <f>1/(VALUE(MID(F406,1,1))/Parametros!$E$2+VALUE(MID(F406,2,1))/Parametros!$E$3+VALUE(MID(F406,3,1))/Parametros!$E$4+VALUE(MID(F406,4,1))/Parametros!$E$5)</f>
        <v/>
      </c>
      <c r="J406" s="5">
        <f>IF(G406=0,Parametros!$E$8,Parametros!$E$6+Parametros!$E$6*(Parametros!$E$7/G406+I406)/(Parametros!$E$6+Parametros!$E$7/G406+I406))</f>
        <v/>
      </c>
      <c r="K406" s="2" t="inlineStr">
        <is>
          <t>2026-08-10 16:15</t>
        </is>
      </c>
      <c r="L406" s="6" t="inlineStr">
        <is>
          <t>Válido</t>
        </is>
      </c>
      <c r="M406" s="2">
        <f>IF(L406="Válido","Sim","Não")</f>
        <v/>
      </c>
      <c r="N406" s="2" t="inlineStr"/>
    </row>
    <row r="407">
      <c r="A407" s="2" t="inlineStr">
        <is>
          <t>2Bracos_2700_R0100_150W_2026-08-10_16_15.csv</t>
        </is>
      </c>
      <c r="B407" s="2" t="inlineStr">
        <is>
          <t>150W_2700RPM_R0100</t>
        </is>
      </c>
      <c r="C407" s="2" t="n">
        <v>150</v>
      </c>
      <c r="D407" s="2" t="n">
        <v>2700</v>
      </c>
      <c r="E407" s="3">
        <f>D407*2/60</f>
        <v/>
      </c>
      <c r="F407" s="2" t="inlineStr">
        <is>
          <t>0100</t>
        </is>
      </c>
      <c r="G407" s="2" t="n">
        <v>2</v>
      </c>
      <c r="H407" s="2">
        <f>INDEX(Parametros!$B$2:$B$9,MATCH(G407,Parametros!$A$2:$A$9,0))</f>
        <v/>
      </c>
      <c r="I407" s="4">
        <f>1/(VALUE(MID(F407,1,1))/Parametros!$E$2+VALUE(MID(F407,2,1))/Parametros!$E$3+VALUE(MID(F407,3,1))/Parametros!$E$4+VALUE(MID(F407,4,1))/Parametros!$E$5)</f>
        <v/>
      </c>
      <c r="J407" s="5">
        <f>IF(G407=0,Parametros!$E$8,Parametros!$E$6+Parametros!$E$6*(Parametros!$E$7/G407+I407)/(Parametros!$E$6+Parametros!$E$7/G407+I407))</f>
        <v/>
      </c>
      <c r="K407" s="2" t="inlineStr">
        <is>
          <t>2026-08-10 16:15</t>
        </is>
      </c>
      <c r="L407" s="6" t="inlineStr">
        <is>
          <t>Válido</t>
        </is>
      </c>
      <c r="M407" s="2">
        <f>IF(L407="Válido","Sim","Não")</f>
        <v/>
      </c>
      <c r="N407" s="2" t="inlineStr"/>
    </row>
    <row r="408">
      <c r="A408" s="2" t="inlineStr">
        <is>
          <t>1Bracos_2700_R0100_150W_2026-08-10_16_15.csv</t>
        </is>
      </c>
      <c r="B408" s="2" t="inlineStr">
        <is>
          <t>150W_2700RPM_R0100</t>
        </is>
      </c>
      <c r="C408" s="2" t="n">
        <v>150</v>
      </c>
      <c r="D408" s="2" t="n">
        <v>2700</v>
      </c>
      <c r="E408" s="3">
        <f>D408*2/60</f>
        <v/>
      </c>
      <c r="F408" s="2" t="inlineStr">
        <is>
          <t>0100</t>
        </is>
      </c>
      <c r="G408" s="2" t="n">
        <v>1</v>
      </c>
      <c r="H408" s="2">
        <f>INDEX(Parametros!$B$2:$B$9,MATCH(G408,Parametros!$A$2:$A$9,0))</f>
        <v/>
      </c>
      <c r="I408" s="4">
        <f>1/(VALUE(MID(F408,1,1))/Parametros!$E$2+VALUE(MID(F408,2,1))/Parametros!$E$3+VALUE(MID(F408,3,1))/Parametros!$E$4+VALUE(MID(F408,4,1))/Parametros!$E$5)</f>
        <v/>
      </c>
      <c r="J408" s="5">
        <f>IF(G408=0,Parametros!$E$8,Parametros!$E$6+Parametros!$E$6*(Parametros!$E$7/G408+I408)/(Parametros!$E$6+Parametros!$E$7/G408+I408))</f>
        <v/>
      </c>
      <c r="K408" s="2" t="inlineStr">
        <is>
          <t>2026-08-10 16:15</t>
        </is>
      </c>
      <c r="L408" s="6" t="inlineStr">
        <is>
          <t>Válido</t>
        </is>
      </c>
      <c r="M408" s="2">
        <f>IF(L408="Válido","Sim","Não")</f>
        <v/>
      </c>
      <c r="N408" s="2" t="inlineStr"/>
    </row>
    <row r="409">
      <c r="A409" s="2" t="inlineStr">
        <is>
          <t>0Bracos_2700_R0100_150W_2026-08-10_16_15.csv</t>
        </is>
      </c>
      <c r="B409" s="2" t="inlineStr">
        <is>
          <t>150W_2700RPM_R0100</t>
        </is>
      </c>
      <c r="C409" s="2" t="n">
        <v>150</v>
      </c>
      <c r="D409" s="2" t="n">
        <v>2700</v>
      </c>
      <c r="E409" s="3">
        <f>D409*2/60</f>
        <v/>
      </c>
      <c r="F409" s="2" t="inlineStr">
        <is>
          <t>0100</t>
        </is>
      </c>
      <c r="G409" s="2" t="n">
        <v>0</v>
      </c>
      <c r="H409" s="2">
        <f>INDEX(Parametros!$B$2:$B$9,MATCH(G409,Parametros!$A$2:$A$9,0))</f>
        <v/>
      </c>
      <c r="I409" s="4">
        <f>1/(VALUE(MID(F409,1,1))/Parametros!$E$2+VALUE(MID(F409,2,1))/Parametros!$E$3+VALUE(MID(F409,3,1))/Parametros!$E$4+VALUE(MID(F409,4,1))/Parametros!$E$5)</f>
        <v/>
      </c>
      <c r="J409" s="5">
        <f>IF(G409=0,Parametros!$E$8,Parametros!$E$6+Parametros!$E$6*(Parametros!$E$7/G409+I409)/(Parametros!$E$6+Parametros!$E$7/G409+I409))</f>
        <v/>
      </c>
      <c r="K409" s="2" t="inlineStr">
        <is>
          <t>2026-08-10 16:15</t>
        </is>
      </c>
      <c r="L409" s="6" t="inlineStr">
        <is>
          <t>Válido</t>
        </is>
      </c>
      <c r="M409" s="2">
        <f>IF(L409="Válido","Sim","Não")</f>
        <v/>
      </c>
      <c r="N409" s="2" t="inlineStr"/>
    </row>
    <row r="410">
      <c r="A410" s="2" t="inlineStr">
        <is>
          <t>7Bracos_2700_R0101_150W_2026-08-10_16_15.csv</t>
        </is>
      </c>
      <c r="B410" s="2" t="inlineStr">
        <is>
          <t>150W_2700RPM_R0101</t>
        </is>
      </c>
      <c r="C410" s="2" t="n">
        <v>150</v>
      </c>
      <c r="D410" s="2" t="n">
        <v>2700</v>
      </c>
      <c r="E410" s="3">
        <f>D410*2/60</f>
        <v/>
      </c>
      <c r="F410" s="2" t="inlineStr">
        <is>
          <t>0101</t>
        </is>
      </c>
      <c r="G410" s="2" t="n">
        <v>7</v>
      </c>
      <c r="H410" s="2">
        <f>INDEX(Parametros!$B$2:$B$9,MATCH(G410,Parametros!$A$2:$A$9,0))</f>
        <v/>
      </c>
      <c r="I410" s="4">
        <f>1/(VALUE(MID(F410,1,1))/Parametros!$E$2+VALUE(MID(F410,2,1))/Parametros!$E$3+VALUE(MID(F410,3,1))/Parametros!$E$4+VALUE(MID(F410,4,1))/Parametros!$E$5)</f>
        <v/>
      </c>
      <c r="J410" s="5">
        <f>IF(G410=0,Parametros!$E$8,Parametros!$E$6+Parametros!$E$6*(Parametros!$E$7/G410+I410)/(Parametros!$E$6+Parametros!$E$7/G410+I410))</f>
        <v/>
      </c>
      <c r="K410" s="2" t="inlineStr">
        <is>
          <t>2026-08-10 16:15</t>
        </is>
      </c>
      <c r="L410" s="6" t="inlineStr">
        <is>
          <t>Válido</t>
        </is>
      </c>
      <c r="M410" s="2">
        <f>IF(L410="Válido","Sim","Não")</f>
        <v/>
      </c>
      <c r="N410" s="2" t="inlineStr"/>
    </row>
    <row r="411">
      <c r="A411" s="2" t="inlineStr">
        <is>
          <t>6Bracos_2700_R0101_150W_2026-08-10_16_15.csv</t>
        </is>
      </c>
      <c r="B411" s="2" t="inlineStr">
        <is>
          <t>150W_2700RPM_R0101</t>
        </is>
      </c>
      <c r="C411" s="2" t="n">
        <v>150</v>
      </c>
      <c r="D411" s="2" t="n">
        <v>2700</v>
      </c>
      <c r="E411" s="3">
        <f>D411*2/60</f>
        <v/>
      </c>
      <c r="F411" s="2" t="inlineStr">
        <is>
          <t>0101</t>
        </is>
      </c>
      <c r="G411" s="2" t="n">
        <v>6</v>
      </c>
      <c r="H411" s="2">
        <f>INDEX(Parametros!$B$2:$B$9,MATCH(G411,Parametros!$A$2:$A$9,0))</f>
        <v/>
      </c>
      <c r="I411" s="4">
        <f>1/(VALUE(MID(F411,1,1))/Parametros!$E$2+VALUE(MID(F411,2,1))/Parametros!$E$3+VALUE(MID(F411,3,1))/Parametros!$E$4+VALUE(MID(F411,4,1))/Parametros!$E$5)</f>
        <v/>
      </c>
      <c r="J411" s="5">
        <f>IF(G411=0,Parametros!$E$8,Parametros!$E$6+Parametros!$E$6*(Parametros!$E$7/G411+I411)/(Parametros!$E$6+Parametros!$E$7/G411+I411))</f>
        <v/>
      </c>
      <c r="K411" s="2" t="inlineStr">
        <is>
          <t>2026-08-10 16:15</t>
        </is>
      </c>
      <c r="L411" s="6" t="inlineStr">
        <is>
          <t>Válido</t>
        </is>
      </c>
      <c r="M411" s="2">
        <f>IF(L411="Válido","Sim","Não")</f>
        <v/>
      </c>
      <c r="N411" s="2" t="inlineStr"/>
    </row>
    <row r="412">
      <c r="A412" s="2" t="inlineStr">
        <is>
          <t>5Bracos_2700_R0101_150W_2026-08-10_16_15.csv</t>
        </is>
      </c>
      <c r="B412" s="2" t="inlineStr">
        <is>
          <t>150W_2700RPM_R0101</t>
        </is>
      </c>
      <c r="C412" s="2" t="n">
        <v>150</v>
      </c>
      <c r="D412" s="2" t="n">
        <v>2700</v>
      </c>
      <c r="E412" s="3">
        <f>D412*2/60</f>
        <v/>
      </c>
      <c r="F412" s="2" t="inlineStr">
        <is>
          <t>0101</t>
        </is>
      </c>
      <c r="G412" s="2" t="n">
        <v>5</v>
      </c>
      <c r="H412" s="2">
        <f>INDEX(Parametros!$B$2:$B$9,MATCH(G412,Parametros!$A$2:$A$9,0))</f>
        <v/>
      </c>
      <c r="I412" s="4">
        <f>1/(VALUE(MID(F412,1,1))/Parametros!$E$2+VALUE(MID(F412,2,1))/Parametros!$E$3+VALUE(MID(F412,3,1))/Parametros!$E$4+VALUE(MID(F412,4,1))/Parametros!$E$5)</f>
        <v/>
      </c>
      <c r="J412" s="5">
        <f>IF(G412=0,Parametros!$E$8,Parametros!$E$6+Parametros!$E$6*(Parametros!$E$7/G412+I412)/(Parametros!$E$6+Parametros!$E$7/G412+I412))</f>
        <v/>
      </c>
      <c r="K412" s="2" t="inlineStr">
        <is>
          <t>2026-08-10 16:15</t>
        </is>
      </c>
      <c r="L412" s="6" t="inlineStr">
        <is>
          <t>Válido</t>
        </is>
      </c>
      <c r="M412" s="2">
        <f>IF(L412="Válido","Sim","Não")</f>
        <v/>
      </c>
      <c r="N412" s="2" t="inlineStr"/>
    </row>
    <row r="413">
      <c r="A413" s="2" t="inlineStr">
        <is>
          <t>4Bracos_2700_R0101_150W_2026-08-10_16_15.csv</t>
        </is>
      </c>
      <c r="B413" s="2" t="inlineStr">
        <is>
          <t>150W_2700RPM_R0101</t>
        </is>
      </c>
      <c r="C413" s="2" t="n">
        <v>150</v>
      </c>
      <c r="D413" s="2" t="n">
        <v>2700</v>
      </c>
      <c r="E413" s="3">
        <f>D413*2/60</f>
        <v/>
      </c>
      <c r="F413" s="2" t="inlineStr">
        <is>
          <t>0101</t>
        </is>
      </c>
      <c r="G413" s="2" t="n">
        <v>4</v>
      </c>
      <c r="H413" s="2">
        <f>INDEX(Parametros!$B$2:$B$9,MATCH(G413,Parametros!$A$2:$A$9,0))</f>
        <v/>
      </c>
      <c r="I413" s="4">
        <f>1/(VALUE(MID(F413,1,1))/Parametros!$E$2+VALUE(MID(F413,2,1))/Parametros!$E$3+VALUE(MID(F413,3,1))/Parametros!$E$4+VALUE(MID(F413,4,1))/Parametros!$E$5)</f>
        <v/>
      </c>
      <c r="J413" s="5">
        <f>IF(G413=0,Parametros!$E$8,Parametros!$E$6+Parametros!$E$6*(Parametros!$E$7/G413+I413)/(Parametros!$E$6+Parametros!$E$7/G413+I413))</f>
        <v/>
      </c>
      <c r="K413" s="2" t="inlineStr">
        <is>
          <t>2026-08-10 16:15</t>
        </is>
      </c>
      <c r="L413" s="6" t="inlineStr">
        <is>
          <t>Válido</t>
        </is>
      </c>
      <c r="M413" s="2">
        <f>IF(L413="Válido","Sim","Não")</f>
        <v/>
      </c>
      <c r="N413" s="2" t="inlineStr"/>
    </row>
    <row r="414">
      <c r="A414" s="2" t="inlineStr">
        <is>
          <t>3Bracos_2700_R0101_150W_2026-08-10_16_15.csv</t>
        </is>
      </c>
      <c r="B414" s="2" t="inlineStr">
        <is>
          <t>150W_2700RPM_R0101</t>
        </is>
      </c>
      <c r="C414" s="2" t="n">
        <v>150</v>
      </c>
      <c r="D414" s="2" t="n">
        <v>2700</v>
      </c>
      <c r="E414" s="3">
        <f>D414*2/60</f>
        <v/>
      </c>
      <c r="F414" s="2" t="inlineStr">
        <is>
          <t>0101</t>
        </is>
      </c>
      <c r="G414" s="2" t="n">
        <v>3</v>
      </c>
      <c r="H414" s="2">
        <f>INDEX(Parametros!$B$2:$B$9,MATCH(G414,Parametros!$A$2:$A$9,0))</f>
        <v/>
      </c>
      <c r="I414" s="4">
        <f>1/(VALUE(MID(F414,1,1))/Parametros!$E$2+VALUE(MID(F414,2,1))/Parametros!$E$3+VALUE(MID(F414,3,1))/Parametros!$E$4+VALUE(MID(F414,4,1))/Parametros!$E$5)</f>
        <v/>
      </c>
      <c r="J414" s="5">
        <f>IF(G414=0,Parametros!$E$8,Parametros!$E$6+Parametros!$E$6*(Parametros!$E$7/G414+I414)/(Parametros!$E$6+Parametros!$E$7/G414+I414))</f>
        <v/>
      </c>
      <c r="K414" s="2" t="inlineStr">
        <is>
          <t>2026-08-10 16:15</t>
        </is>
      </c>
      <c r="L414" s="6" t="inlineStr">
        <is>
          <t>Válido</t>
        </is>
      </c>
      <c r="M414" s="2">
        <f>IF(L414="Válido","Sim","Não")</f>
        <v/>
      </c>
      <c r="N414" s="2" t="inlineStr"/>
    </row>
    <row r="415">
      <c r="A415" s="2" t="inlineStr">
        <is>
          <t>2Bracos_2700_R0101_150W_2026-08-10_16_15.csv</t>
        </is>
      </c>
      <c r="B415" s="2" t="inlineStr">
        <is>
          <t>150W_2700RPM_R0101</t>
        </is>
      </c>
      <c r="C415" s="2" t="n">
        <v>150</v>
      </c>
      <c r="D415" s="2" t="n">
        <v>2700</v>
      </c>
      <c r="E415" s="3">
        <f>D415*2/60</f>
        <v/>
      </c>
      <c r="F415" s="2" t="inlineStr">
        <is>
          <t>0101</t>
        </is>
      </c>
      <c r="G415" s="2" t="n">
        <v>2</v>
      </c>
      <c r="H415" s="2">
        <f>INDEX(Parametros!$B$2:$B$9,MATCH(G415,Parametros!$A$2:$A$9,0))</f>
        <v/>
      </c>
      <c r="I415" s="4">
        <f>1/(VALUE(MID(F415,1,1))/Parametros!$E$2+VALUE(MID(F415,2,1))/Parametros!$E$3+VALUE(MID(F415,3,1))/Parametros!$E$4+VALUE(MID(F415,4,1))/Parametros!$E$5)</f>
        <v/>
      </c>
      <c r="J415" s="5">
        <f>IF(G415=0,Parametros!$E$8,Parametros!$E$6+Parametros!$E$6*(Parametros!$E$7/G415+I415)/(Parametros!$E$6+Parametros!$E$7/G415+I415))</f>
        <v/>
      </c>
      <c r="K415" s="2" t="inlineStr">
        <is>
          <t>2026-08-10 16:15</t>
        </is>
      </c>
      <c r="L415" s="6" t="inlineStr">
        <is>
          <t>Válido</t>
        </is>
      </c>
      <c r="M415" s="2">
        <f>IF(L415="Válido","Sim","Não")</f>
        <v/>
      </c>
      <c r="N415" s="2" t="inlineStr"/>
    </row>
    <row r="416">
      <c r="A416" s="2" t="inlineStr">
        <is>
          <t>1Bracos_2700_R0101_150W_2026-08-10_16_15.csv</t>
        </is>
      </c>
      <c r="B416" s="2" t="inlineStr">
        <is>
          <t>150W_2700RPM_R0101</t>
        </is>
      </c>
      <c r="C416" s="2" t="n">
        <v>150</v>
      </c>
      <c r="D416" s="2" t="n">
        <v>2700</v>
      </c>
      <c r="E416" s="3">
        <f>D416*2/60</f>
        <v/>
      </c>
      <c r="F416" s="2" t="inlineStr">
        <is>
          <t>0101</t>
        </is>
      </c>
      <c r="G416" s="2" t="n">
        <v>1</v>
      </c>
      <c r="H416" s="2">
        <f>INDEX(Parametros!$B$2:$B$9,MATCH(G416,Parametros!$A$2:$A$9,0))</f>
        <v/>
      </c>
      <c r="I416" s="4">
        <f>1/(VALUE(MID(F416,1,1))/Parametros!$E$2+VALUE(MID(F416,2,1))/Parametros!$E$3+VALUE(MID(F416,3,1))/Parametros!$E$4+VALUE(MID(F416,4,1))/Parametros!$E$5)</f>
        <v/>
      </c>
      <c r="J416" s="5">
        <f>IF(G416=0,Parametros!$E$8,Parametros!$E$6+Parametros!$E$6*(Parametros!$E$7/G416+I416)/(Parametros!$E$6+Parametros!$E$7/G416+I416))</f>
        <v/>
      </c>
      <c r="K416" s="2" t="inlineStr">
        <is>
          <t>2026-08-10 16:15</t>
        </is>
      </c>
      <c r="L416" s="6" t="inlineStr">
        <is>
          <t>Válido</t>
        </is>
      </c>
      <c r="M416" s="2">
        <f>IF(L416="Válido","Sim","Não")</f>
        <v/>
      </c>
      <c r="N416" s="2" t="inlineStr"/>
    </row>
    <row r="417">
      <c r="A417" s="2" t="inlineStr">
        <is>
          <t>0Bracos_2700_R0101_150W_2026-08-10_16_15.csv</t>
        </is>
      </c>
      <c r="B417" s="2" t="inlineStr">
        <is>
          <t>150W_2700RPM_R0101</t>
        </is>
      </c>
      <c r="C417" s="2" t="n">
        <v>150</v>
      </c>
      <c r="D417" s="2" t="n">
        <v>2700</v>
      </c>
      <c r="E417" s="3">
        <f>D417*2/60</f>
        <v/>
      </c>
      <c r="F417" s="2" t="inlineStr">
        <is>
          <t>0101</t>
        </is>
      </c>
      <c r="G417" s="2" t="n">
        <v>0</v>
      </c>
      <c r="H417" s="2">
        <f>INDEX(Parametros!$B$2:$B$9,MATCH(G417,Parametros!$A$2:$A$9,0))</f>
        <v/>
      </c>
      <c r="I417" s="4">
        <f>1/(VALUE(MID(F417,1,1))/Parametros!$E$2+VALUE(MID(F417,2,1))/Parametros!$E$3+VALUE(MID(F417,3,1))/Parametros!$E$4+VALUE(MID(F417,4,1))/Parametros!$E$5)</f>
        <v/>
      </c>
      <c r="J417" s="5">
        <f>IF(G417=0,Parametros!$E$8,Parametros!$E$6+Parametros!$E$6*(Parametros!$E$7/G417+I417)/(Parametros!$E$6+Parametros!$E$7/G417+I417))</f>
        <v/>
      </c>
      <c r="K417" s="2" t="inlineStr">
        <is>
          <t>2026-08-10 16:15</t>
        </is>
      </c>
      <c r="L417" s="6" t="inlineStr">
        <is>
          <t>Válido</t>
        </is>
      </c>
      <c r="M417" s="2">
        <f>IF(L417="Válido","Sim","Não")</f>
        <v/>
      </c>
      <c r="N417" s="2" t="inlineStr"/>
    </row>
    <row r="418">
      <c r="A418" s="2" t="inlineStr">
        <is>
          <t>7Bracos_2700_R0110_150W_2026-08-10_16_15.csv</t>
        </is>
      </c>
      <c r="B418" s="2" t="inlineStr">
        <is>
          <t>150W_2700RPM_R0110</t>
        </is>
      </c>
      <c r="C418" s="2" t="n">
        <v>150</v>
      </c>
      <c r="D418" s="2" t="n">
        <v>2700</v>
      </c>
      <c r="E418" s="3">
        <f>D418*2/60</f>
        <v/>
      </c>
      <c r="F418" s="2" t="inlineStr">
        <is>
          <t>0110</t>
        </is>
      </c>
      <c r="G418" s="2" t="n">
        <v>7</v>
      </c>
      <c r="H418" s="2">
        <f>INDEX(Parametros!$B$2:$B$9,MATCH(G418,Parametros!$A$2:$A$9,0))</f>
        <v/>
      </c>
      <c r="I418" s="4">
        <f>1/(VALUE(MID(F418,1,1))/Parametros!$E$2+VALUE(MID(F418,2,1))/Parametros!$E$3+VALUE(MID(F418,3,1))/Parametros!$E$4+VALUE(MID(F418,4,1))/Parametros!$E$5)</f>
        <v/>
      </c>
      <c r="J418" s="5">
        <f>IF(G418=0,Parametros!$E$8,Parametros!$E$6+Parametros!$E$6*(Parametros!$E$7/G418+I418)/(Parametros!$E$6+Parametros!$E$7/G418+I418))</f>
        <v/>
      </c>
      <c r="K418" s="2" t="inlineStr">
        <is>
          <t>2026-08-10 16:15</t>
        </is>
      </c>
      <c r="L418" s="6" t="inlineStr">
        <is>
          <t>Válido</t>
        </is>
      </c>
      <c r="M418" s="2">
        <f>IF(L418="Válido","Sim","Não")</f>
        <v/>
      </c>
      <c r="N418" s="2" t="inlineStr"/>
    </row>
    <row r="419">
      <c r="A419" s="2" t="inlineStr">
        <is>
          <t>6Bracos_2700_R0110_150W_2026-08-10_16_15.csv</t>
        </is>
      </c>
      <c r="B419" s="2" t="inlineStr">
        <is>
          <t>150W_2700RPM_R0110</t>
        </is>
      </c>
      <c r="C419" s="2" t="n">
        <v>150</v>
      </c>
      <c r="D419" s="2" t="n">
        <v>2700</v>
      </c>
      <c r="E419" s="3">
        <f>D419*2/60</f>
        <v/>
      </c>
      <c r="F419" s="2" t="inlineStr">
        <is>
          <t>0110</t>
        </is>
      </c>
      <c r="G419" s="2" t="n">
        <v>6</v>
      </c>
      <c r="H419" s="2">
        <f>INDEX(Parametros!$B$2:$B$9,MATCH(G419,Parametros!$A$2:$A$9,0))</f>
        <v/>
      </c>
      <c r="I419" s="4">
        <f>1/(VALUE(MID(F419,1,1))/Parametros!$E$2+VALUE(MID(F419,2,1))/Parametros!$E$3+VALUE(MID(F419,3,1))/Parametros!$E$4+VALUE(MID(F419,4,1))/Parametros!$E$5)</f>
        <v/>
      </c>
      <c r="J419" s="5">
        <f>IF(G419=0,Parametros!$E$8,Parametros!$E$6+Parametros!$E$6*(Parametros!$E$7/G419+I419)/(Parametros!$E$6+Parametros!$E$7/G419+I419))</f>
        <v/>
      </c>
      <c r="K419" s="2" t="inlineStr">
        <is>
          <t>2026-08-10 16:15</t>
        </is>
      </c>
      <c r="L419" s="6" t="inlineStr">
        <is>
          <t>Válido</t>
        </is>
      </c>
      <c r="M419" s="2">
        <f>IF(L419="Válido","Sim","Não")</f>
        <v/>
      </c>
      <c r="N419" s="2" t="inlineStr"/>
    </row>
    <row r="420">
      <c r="A420" s="2" t="inlineStr">
        <is>
          <t>5Bracos_2700_R0110_150W_2026-08-10_16_15.csv</t>
        </is>
      </c>
      <c r="B420" s="2" t="inlineStr">
        <is>
          <t>150W_2700RPM_R0110</t>
        </is>
      </c>
      <c r="C420" s="2" t="n">
        <v>150</v>
      </c>
      <c r="D420" s="2" t="n">
        <v>2700</v>
      </c>
      <c r="E420" s="3">
        <f>D420*2/60</f>
        <v/>
      </c>
      <c r="F420" s="2" t="inlineStr">
        <is>
          <t>0110</t>
        </is>
      </c>
      <c r="G420" s="2" t="n">
        <v>5</v>
      </c>
      <c r="H420" s="2">
        <f>INDEX(Parametros!$B$2:$B$9,MATCH(G420,Parametros!$A$2:$A$9,0))</f>
        <v/>
      </c>
      <c r="I420" s="4">
        <f>1/(VALUE(MID(F420,1,1))/Parametros!$E$2+VALUE(MID(F420,2,1))/Parametros!$E$3+VALUE(MID(F420,3,1))/Parametros!$E$4+VALUE(MID(F420,4,1))/Parametros!$E$5)</f>
        <v/>
      </c>
      <c r="J420" s="5">
        <f>IF(G420=0,Parametros!$E$8,Parametros!$E$6+Parametros!$E$6*(Parametros!$E$7/G420+I420)/(Parametros!$E$6+Parametros!$E$7/G420+I420))</f>
        <v/>
      </c>
      <c r="K420" s="2" t="inlineStr">
        <is>
          <t>2026-08-10 16:15</t>
        </is>
      </c>
      <c r="L420" s="6" t="inlineStr">
        <is>
          <t>Válido</t>
        </is>
      </c>
      <c r="M420" s="2">
        <f>IF(L420="Válido","Sim","Não")</f>
        <v/>
      </c>
      <c r="N420" s="2" t="inlineStr"/>
    </row>
    <row r="421">
      <c r="A421" s="2" t="inlineStr">
        <is>
          <t>4Bracos_2700_R0110_150W_2026-08-10_16_15.csv</t>
        </is>
      </c>
      <c r="B421" s="2" t="inlineStr">
        <is>
          <t>150W_2700RPM_R0110</t>
        </is>
      </c>
      <c r="C421" s="2" t="n">
        <v>150</v>
      </c>
      <c r="D421" s="2" t="n">
        <v>2700</v>
      </c>
      <c r="E421" s="3">
        <f>D421*2/60</f>
        <v/>
      </c>
      <c r="F421" s="2" t="inlineStr">
        <is>
          <t>0110</t>
        </is>
      </c>
      <c r="G421" s="2" t="n">
        <v>4</v>
      </c>
      <c r="H421" s="2">
        <f>INDEX(Parametros!$B$2:$B$9,MATCH(G421,Parametros!$A$2:$A$9,0))</f>
        <v/>
      </c>
      <c r="I421" s="4">
        <f>1/(VALUE(MID(F421,1,1))/Parametros!$E$2+VALUE(MID(F421,2,1))/Parametros!$E$3+VALUE(MID(F421,3,1))/Parametros!$E$4+VALUE(MID(F421,4,1))/Parametros!$E$5)</f>
        <v/>
      </c>
      <c r="J421" s="5">
        <f>IF(G421=0,Parametros!$E$8,Parametros!$E$6+Parametros!$E$6*(Parametros!$E$7/G421+I421)/(Parametros!$E$6+Parametros!$E$7/G421+I421))</f>
        <v/>
      </c>
      <c r="K421" s="2" t="inlineStr">
        <is>
          <t>2026-08-10 16:15</t>
        </is>
      </c>
      <c r="L421" s="6" t="inlineStr">
        <is>
          <t>Válido</t>
        </is>
      </c>
      <c r="M421" s="2">
        <f>IF(L421="Válido","Sim","Não")</f>
        <v/>
      </c>
      <c r="N421" s="2" t="inlineStr"/>
    </row>
    <row r="422">
      <c r="A422" s="2" t="inlineStr">
        <is>
          <t>3Bracos_2700_R0110_150W_2026-08-10_16_15.csv</t>
        </is>
      </c>
      <c r="B422" s="2" t="inlineStr">
        <is>
          <t>150W_2700RPM_R0110</t>
        </is>
      </c>
      <c r="C422" s="2" t="n">
        <v>150</v>
      </c>
      <c r="D422" s="2" t="n">
        <v>2700</v>
      </c>
      <c r="E422" s="3">
        <f>D422*2/60</f>
        <v/>
      </c>
      <c r="F422" s="2" t="inlineStr">
        <is>
          <t>0110</t>
        </is>
      </c>
      <c r="G422" s="2" t="n">
        <v>3</v>
      </c>
      <c r="H422" s="2">
        <f>INDEX(Parametros!$B$2:$B$9,MATCH(G422,Parametros!$A$2:$A$9,0))</f>
        <v/>
      </c>
      <c r="I422" s="4">
        <f>1/(VALUE(MID(F422,1,1))/Parametros!$E$2+VALUE(MID(F422,2,1))/Parametros!$E$3+VALUE(MID(F422,3,1))/Parametros!$E$4+VALUE(MID(F422,4,1))/Parametros!$E$5)</f>
        <v/>
      </c>
      <c r="J422" s="5">
        <f>IF(G422=0,Parametros!$E$8,Parametros!$E$6+Parametros!$E$6*(Parametros!$E$7/G422+I422)/(Parametros!$E$6+Parametros!$E$7/G422+I422))</f>
        <v/>
      </c>
      <c r="K422" s="2" t="inlineStr">
        <is>
          <t>2026-08-10 16:15</t>
        </is>
      </c>
      <c r="L422" s="6" t="inlineStr">
        <is>
          <t>Válido</t>
        </is>
      </c>
      <c r="M422" s="2">
        <f>IF(L422="Válido","Sim","Não")</f>
        <v/>
      </c>
      <c r="N422" s="2" t="inlineStr"/>
    </row>
    <row r="423">
      <c r="A423" s="2" t="inlineStr">
        <is>
          <t>2Bracos_2700_R0110_150W_2026-08-10_16_15.csv</t>
        </is>
      </c>
      <c r="B423" s="2" t="inlineStr">
        <is>
          <t>150W_2700RPM_R0110</t>
        </is>
      </c>
      <c r="C423" s="2" t="n">
        <v>150</v>
      </c>
      <c r="D423" s="2" t="n">
        <v>2700</v>
      </c>
      <c r="E423" s="3">
        <f>D423*2/60</f>
        <v/>
      </c>
      <c r="F423" s="2" t="inlineStr">
        <is>
          <t>0110</t>
        </is>
      </c>
      <c r="G423" s="2" t="n">
        <v>2</v>
      </c>
      <c r="H423" s="2">
        <f>INDEX(Parametros!$B$2:$B$9,MATCH(G423,Parametros!$A$2:$A$9,0))</f>
        <v/>
      </c>
      <c r="I423" s="4">
        <f>1/(VALUE(MID(F423,1,1))/Parametros!$E$2+VALUE(MID(F423,2,1))/Parametros!$E$3+VALUE(MID(F423,3,1))/Parametros!$E$4+VALUE(MID(F423,4,1))/Parametros!$E$5)</f>
        <v/>
      </c>
      <c r="J423" s="5">
        <f>IF(G423=0,Parametros!$E$8,Parametros!$E$6+Parametros!$E$6*(Parametros!$E$7/G423+I423)/(Parametros!$E$6+Parametros!$E$7/G423+I423))</f>
        <v/>
      </c>
      <c r="K423" s="2" t="inlineStr">
        <is>
          <t>2026-08-10 16:15</t>
        </is>
      </c>
      <c r="L423" s="6" t="inlineStr">
        <is>
          <t>Válido</t>
        </is>
      </c>
      <c r="M423" s="2">
        <f>IF(L423="Válido","Sim","Não")</f>
        <v/>
      </c>
      <c r="N423" s="2" t="inlineStr"/>
    </row>
    <row r="424">
      <c r="A424" s="2" t="inlineStr">
        <is>
          <t>1Bracos_2700_R0110_150W_2026-08-10_16_15.csv</t>
        </is>
      </c>
      <c r="B424" s="2" t="inlineStr">
        <is>
          <t>150W_2700RPM_R0110</t>
        </is>
      </c>
      <c r="C424" s="2" t="n">
        <v>150</v>
      </c>
      <c r="D424" s="2" t="n">
        <v>2700</v>
      </c>
      <c r="E424" s="3">
        <f>D424*2/60</f>
        <v/>
      </c>
      <c r="F424" s="2" t="inlineStr">
        <is>
          <t>0110</t>
        </is>
      </c>
      <c r="G424" s="2" t="n">
        <v>1</v>
      </c>
      <c r="H424" s="2">
        <f>INDEX(Parametros!$B$2:$B$9,MATCH(G424,Parametros!$A$2:$A$9,0))</f>
        <v/>
      </c>
      <c r="I424" s="4">
        <f>1/(VALUE(MID(F424,1,1))/Parametros!$E$2+VALUE(MID(F424,2,1))/Parametros!$E$3+VALUE(MID(F424,3,1))/Parametros!$E$4+VALUE(MID(F424,4,1))/Parametros!$E$5)</f>
        <v/>
      </c>
      <c r="J424" s="5">
        <f>IF(G424=0,Parametros!$E$8,Parametros!$E$6+Parametros!$E$6*(Parametros!$E$7/G424+I424)/(Parametros!$E$6+Parametros!$E$7/G424+I424))</f>
        <v/>
      </c>
      <c r="K424" s="2" t="inlineStr">
        <is>
          <t>2026-08-10 16:15</t>
        </is>
      </c>
      <c r="L424" s="6" t="inlineStr">
        <is>
          <t>Válido</t>
        </is>
      </c>
      <c r="M424" s="2">
        <f>IF(L424="Válido","Sim","Não")</f>
        <v/>
      </c>
      <c r="N424" s="2" t="inlineStr"/>
    </row>
    <row r="425">
      <c r="A425" s="2" t="inlineStr">
        <is>
          <t>0Bracos_2700_R0110_150W_2026-08-10_16_15.csv</t>
        </is>
      </c>
      <c r="B425" s="2" t="inlineStr">
        <is>
          <t>150W_2700RPM_R0110</t>
        </is>
      </c>
      <c r="C425" s="2" t="n">
        <v>150</v>
      </c>
      <c r="D425" s="2" t="n">
        <v>2700</v>
      </c>
      <c r="E425" s="3">
        <f>D425*2/60</f>
        <v/>
      </c>
      <c r="F425" s="2" t="inlineStr">
        <is>
          <t>0110</t>
        </is>
      </c>
      <c r="G425" s="2" t="n">
        <v>0</v>
      </c>
      <c r="H425" s="2">
        <f>INDEX(Parametros!$B$2:$B$9,MATCH(G425,Parametros!$A$2:$A$9,0))</f>
        <v/>
      </c>
      <c r="I425" s="4">
        <f>1/(VALUE(MID(F425,1,1))/Parametros!$E$2+VALUE(MID(F425,2,1))/Parametros!$E$3+VALUE(MID(F425,3,1))/Parametros!$E$4+VALUE(MID(F425,4,1))/Parametros!$E$5)</f>
        <v/>
      </c>
      <c r="J425" s="5">
        <f>IF(G425=0,Parametros!$E$8,Parametros!$E$6+Parametros!$E$6*(Parametros!$E$7/G425+I425)/(Parametros!$E$6+Parametros!$E$7/G425+I425))</f>
        <v/>
      </c>
      <c r="K425" s="2" t="inlineStr">
        <is>
          <t>2026-08-10 16:15</t>
        </is>
      </c>
      <c r="L425" s="6" t="inlineStr">
        <is>
          <t>Válido</t>
        </is>
      </c>
      <c r="M425" s="2">
        <f>IF(L425="Válido","Sim","Não")</f>
        <v/>
      </c>
      <c r="N425" s="2" t="inlineStr"/>
    </row>
    <row r="426">
      <c r="A426" s="2" t="inlineStr">
        <is>
          <t>7Bracos_2700_R0111_150W_2026-08-10_16_15.csv</t>
        </is>
      </c>
      <c r="B426" s="2" t="inlineStr">
        <is>
          <t>150W_2700RPM_R0111</t>
        </is>
      </c>
      <c r="C426" s="2" t="n">
        <v>150</v>
      </c>
      <c r="D426" s="2" t="n">
        <v>2700</v>
      </c>
      <c r="E426" s="3">
        <f>D426*2/60</f>
        <v/>
      </c>
      <c r="F426" s="2" t="inlineStr">
        <is>
          <t>0111</t>
        </is>
      </c>
      <c r="G426" s="2" t="n">
        <v>7</v>
      </c>
      <c r="H426" s="2">
        <f>INDEX(Parametros!$B$2:$B$9,MATCH(G426,Parametros!$A$2:$A$9,0))</f>
        <v/>
      </c>
      <c r="I426" s="4">
        <f>1/(VALUE(MID(F426,1,1))/Parametros!$E$2+VALUE(MID(F426,2,1))/Parametros!$E$3+VALUE(MID(F426,3,1))/Parametros!$E$4+VALUE(MID(F426,4,1))/Parametros!$E$5)</f>
        <v/>
      </c>
      <c r="J426" s="5">
        <f>IF(G426=0,Parametros!$E$8,Parametros!$E$6+Parametros!$E$6*(Parametros!$E$7/G426+I426)/(Parametros!$E$6+Parametros!$E$7/G426+I426))</f>
        <v/>
      </c>
      <c r="K426" s="2" t="inlineStr">
        <is>
          <t>2026-08-10 16:15</t>
        </is>
      </c>
      <c r="L426" s="6" t="inlineStr">
        <is>
          <t>Válido</t>
        </is>
      </c>
      <c r="M426" s="2">
        <f>IF(L426="Válido","Sim","Não")</f>
        <v/>
      </c>
      <c r="N426" s="2" t="inlineStr"/>
    </row>
    <row r="427">
      <c r="A427" s="2" t="inlineStr">
        <is>
          <t>6Bracos_2700_R0111_150W_2026-08-10_16_15.csv</t>
        </is>
      </c>
      <c r="B427" s="2" t="inlineStr">
        <is>
          <t>150W_2700RPM_R0111</t>
        </is>
      </c>
      <c r="C427" s="2" t="n">
        <v>150</v>
      </c>
      <c r="D427" s="2" t="n">
        <v>2700</v>
      </c>
      <c r="E427" s="3">
        <f>D427*2/60</f>
        <v/>
      </c>
      <c r="F427" s="2" t="inlineStr">
        <is>
          <t>0111</t>
        </is>
      </c>
      <c r="G427" s="2" t="n">
        <v>6</v>
      </c>
      <c r="H427" s="2">
        <f>INDEX(Parametros!$B$2:$B$9,MATCH(G427,Parametros!$A$2:$A$9,0))</f>
        <v/>
      </c>
      <c r="I427" s="4">
        <f>1/(VALUE(MID(F427,1,1))/Parametros!$E$2+VALUE(MID(F427,2,1))/Parametros!$E$3+VALUE(MID(F427,3,1))/Parametros!$E$4+VALUE(MID(F427,4,1))/Parametros!$E$5)</f>
        <v/>
      </c>
      <c r="J427" s="5">
        <f>IF(G427=0,Parametros!$E$8,Parametros!$E$6+Parametros!$E$6*(Parametros!$E$7/G427+I427)/(Parametros!$E$6+Parametros!$E$7/G427+I427))</f>
        <v/>
      </c>
      <c r="K427" s="2" t="inlineStr">
        <is>
          <t>2026-08-10 16:15</t>
        </is>
      </c>
      <c r="L427" s="6" t="inlineStr">
        <is>
          <t>Válido</t>
        </is>
      </c>
      <c r="M427" s="2">
        <f>IF(L427="Válido","Sim","Não")</f>
        <v/>
      </c>
      <c r="N427" s="2" t="inlineStr"/>
    </row>
    <row r="428">
      <c r="A428" s="2" t="inlineStr">
        <is>
          <t>5Bracos_2700_R0111_150W_2026-08-10_16_15.csv</t>
        </is>
      </c>
      <c r="B428" s="2" t="inlineStr">
        <is>
          <t>150W_2700RPM_R0111</t>
        </is>
      </c>
      <c r="C428" s="2" t="n">
        <v>150</v>
      </c>
      <c r="D428" s="2" t="n">
        <v>2700</v>
      </c>
      <c r="E428" s="3">
        <f>D428*2/60</f>
        <v/>
      </c>
      <c r="F428" s="2" t="inlineStr">
        <is>
          <t>0111</t>
        </is>
      </c>
      <c r="G428" s="2" t="n">
        <v>5</v>
      </c>
      <c r="H428" s="2">
        <f>INDEX(Parametros!$B$2:$B$9,MATCH(G428,Parametros!$A$2:$A$9,0))</f>
        <v/>
      </c>
      <c r="I428" s="4">
        <f>1/(VALUE(MID(F428,1,1))/Parametros!$E$2+VALUE(MID(F428,2,1))/Parametros!$E$3+VALUE(MID(F428,3,1))/Parametros!$E$4+VALUE(MID(F428,4,1))/Parametros!$E$5)</f>
        <v/>
      </c>
      <c r="J428" s="5">
        <f>IF(G428=0,Parametros!$E$8,Parametros!$E$6+Parametros!$E$6*(Parametros!$E$7/G428+I428)/(Parametros!$E$6+Parametros!$E$7/G428+I428))</f>
        <v/>
      </c>
      <c r="K428" s="2" t="inlineStr">
        <is>
          <t>2026-08-10 16:15</t>
        </is>
      </c>
      <c r="L428" s="6" t="inlineStr">
        <is>
          <t>Válido</t>
        </is>
      </c>
      <c r="M428" s="2">
        <f>IF(L428="Válido","Sim","Não")</f>
        <v/>
      </c>
      <c r="N428" s="2" t="inlineStr"/>
    </row>
    <row r="429">
      <c r="A429" s="2" t="inlineStr">
        <is>
          <t>4Bracos_2700_R0111_150W_2026-08-10_16_15.csv</t>
        </is>
      </c>
      <c r="B429" s="2" t="inlineStr">
        <is>
          <t>150W_2700RPM_R0111</t>
        </is>
      </c>
      <c r="C429" s="2" t="n">
        <v>150</v>
      </c>
      <c r="D429" s="2" t="n">
        <v>2700</v>
      </c>
      <c r="E429" s="3">
        <f>D429*2/60</f>
        <v/>
      </c>
      <c r="F429" s="2" t="inlineStr">
        <is>
          <t>0111</t>
        </is>
      </c>
      <c r="G429" s="2" t="n">
        <v>4</v>
      </c>
      <c r="H429" s="2">
        <f>INDEX(Parametros!$B$2:$B$9,MATCH(G429,Parametros!$A$2:$A$9,0))</f>
        <v/>
      </c>
      <c r="I429" s="4">
        <f>1/(VALUE(MID(F429,1,1))/Parametros!$E$2+VALUE(MID(F429,2,1))/Parametros!$E$3+VALUE(MID(F429,3,1))/Parametros!$E$4+VALUE(MID(F429,4,1))/Parametros!$E$5)</f>
        <v/>
      </c>
      <c r="J429" s="5">
        <f>IF(G429=0,Parametros!$E$8,Parametros!$E$6+Parametros!$E$6*(Parametros!$E$7/G429+I429)/(Parametros!$E$6+Parametros!$E$7/G429+I429))</f>
        <v/>
      </c>
      <c r="K429" s="2" t="inlineStr">
        <is>
          <t>2026-08-10 16:15</t>
        </is>
      </c>
      <c r="L429" s="6" t="inlineStr">
        <is>
          <t>Válido</t>
        </is>
      </c>
      <c r="M429" s="2">
        <f>IF(L429="Válido","Sim","Não")</f>
        <v/>
      </c>
      <c r="N429" s="2" t="inlineStr"/>
    </row>
    <row r="430">
      <c r="A430" s="2" t="inlineStr">
        <is>
          <t>3Bracos_2700_R0111_150W_2026-08-10_16_15.csv</t>
        </is>
      </c>
      <c r="B430" s="2" t="inlineStr">
        <is>
          <t>150W_2700RPM_R0111</t>
        </is>
      </c>
      <c r="C430" s="2" t="n">
        <v>150</v>
      </c>
      <c r="D430" s="2" t="n">
        <v>2700</v>
      </c>
      <c r="E430" s="3">
        <f>D430*2/60</f>
        <v/>
      </c>
      <c r="F430" s="2" t="inlineStr">
        <is>
          <t>0111</t>
        </is>
      </c>
      <c r="G430" s="2" t="n">
        <v>3</v>
      </c>
      <c r="H430" s="2">
        <f>INDEX(Parametros!$B$2:$B$9,MATCH(G430,Parametros!$A$2:$A$9,0))</f>
        <v/>
      </c>
      <c r="I430" s="4">
        <f>1/(VALUE(MID(F430,1,1))/Parametros!$E$2+VALUE(MID(F430,2,1))/Parametros!$E$3+VALUE(MID(F430,3,1))/Parametros!$E$4+VALUE(MID(F430,4,1))/Parametros!$E$5)</f>
        <v/>
      </c>
      <c r="J430" s="5">
        <f>IF(G430=0,Parametros!$E$8,Parametros!$E$6+Parametros!$E$6*(Parametros!$E$7/G430+I430)/(Parametros!$E$6+Parametros!$E$7/G430+I430))</f>
        <v/>
      </c>
      <c r="K430" s="2" t="inlineStr">
        <is>
          <t>2026-08-10 16:15</t>
        </is>
      </c>
      <c r="L430" s="6" t="inlineStr">
        <is>
          <t>Válido</t>
        </is>
      </c>
      <c r="M430" s="2">
        <f>IF(L430="Válido","Sim","Não")</f>
        <v/>
      </c>
      <c r="N430" s="2" t="inlineStr"/>
    </row>
    <row r="431">
      <c r="A431" s="2" t="inlineStr">
        <is>
          <t>2Bracos_2700_R0111_150W_2026-08-10_16_15.csv</t>
        </is>
      </c>
      <c r="B431" s="2" t="inlineStr">
        <is>
          <t>150W_2700RPM_R0111</t>
        </is>
      </c>
      <c r="C431" s="2" t="n">
        <v>150</v>
      </c>
      <c r="D431" s="2" t="n">
        <v>2700</v>
      </c>
      <c r="E431" s="3">
        <f>D431*2/60</f>
        <v/>
      </c>
      <c r="F431" s="2" t="inlineStr">
        <is>
          <t>0111</t>
        </is>
      </c>
      <c r="G431" s="2" t="n">
        <v>2</v>
      </c>
      <c r="H431" s="2">
        <f>INDEX(Parametros!$B$2:$B$9,MATCH(G431,Parametros!$A$2:$A$9,0))</f>
        <v/>
      </c>
      <c r="I431" s="4">
        <f>1/(VALUE(MID(F431,1,1))/Parametros!$E$2+VALUE(MID(F431,2,1))/Parametros!$E$3+VALUE(MID(F431,3,1))/Parametros!$E$4+VALUE(MID(F431,4,1))/Parametros!$E$5)</f>
        <v/>
      </c>
      <c r="J431" s="5">
        <f>IF(G431=0,Parametros!$E$8,Parametros!$E$6+Parametros!$E$6*(Parametros!$E$7/G431+I431)/(Parametros!$E$6+Parametros!$E$7/G431+I431))</f>
        <v/>
      </c>
      <c r="K431" s="2" t="inlineStr">
        <is>
          <t>2026-08-10 16:15</t>
        </is>
      </c>
      <c r="L431" s="6" t="inlineStr">
        <is>
          <t>Válido</t>
        </is>
      </c>
      <c r="M431" s="2">
        <f>IF(L431="Válido","Sim","Não")</f>
        <v/>
      </c>
      <c r="N431" s="2" t="inlineStr"/>
    </row>
    <row r="432">
      <c r="A432" s="2" t="inlineStr">
        <is>
          <t>1Bracos_2700_R0111_150W_2026-08-10_16_15.csv</t>
        </is>
      </c>
      <c r="B432" s="2" t="inlineStr">
        <is>
          <t>150W_2700RPM_R0111</t>
        </is>
      </c>
      <c r="C432" s="2" t="n">
        <v>150</v>
      </c>
      <c r="D432" s="2" t="n">
        <v>2700</v>
      </c>
      <c r="E432" s="3">
        <f>D432*2/60</f>
        <v/>
      </c>
      <c r="F432" s="2" t="inlineStr">
        <is>
          <t>0111</t>
        </is>
      </c>
      <c r="G432" s="2" t="n">
        <v>1</v>
      </c>
      <c r="H432" s="2">
        <f>INDEX(Parametros!$B$2:$B$9,MATCH(G432,Parametros!$A$2:$A$9,0))</f>
        <v/>
      </c>
      <c r="I432" s="4">
        <f>1/(VALUE(MID(F432,1,1))/Parametros!$E$2+VALUE(MID(F432,2,1))/Parametros!$E$3+VALUE(MID(F432,3,1))/Parametros!$E$4+VALUE(MID(F432,4,1))/Parametros!$E$5)</f>
        <v/>
      </c>
      <c r="J432" s="5">
        <f>IF(G432=0,Parametros!$E$8,Parametros!$E$6+Parametros!$E$6*(Parametros!$E$7/G432+I432)/(Parametros!$E$6+Parametros!$E$7/G432+I432))</f>
        <v/>
      </c>
      <c r="K432" s="2" t="inlineStr">
        <is>
          <t>2026-08-10 16:15</t>
        </is>
      </c>
      <c r="L432" s="6" t="inlineStr">
        <is>
          <t>Válido</t>
        </is>
      </c>
      <c r="M432" s="2">
        <f>IF(L432="Válido","Sim","Não")</f>
        <v/>
      </c>
      <c r="N432" s="2" t="inlineStr"/>
    </row>
    <row r="433">
      <c r="A433" s="2" t="inlineStr">
        <is>
          <t>0Bracos_2700_R0111_150W_2026-08-10_16_15.csv</t>
        </is>
      </c>
      <c r="B433" s="2" t="inlineStr">
        <is>
          <t>150W_2700RPM_R0111</t>
        </is>
      </c>
      <c r="C433" s="2" t="n">
        <v>150</v>
      </c>
      <c r="D433" s="2" t="n">
        <v>2700</v>
      </c>
      <c r="E433" s="3">
        <f>D433*2/60</f>
        <v/>
      </c>
      <c r="F433" s="2" t="inlineStr">
        <is>
          <t>0111</t>
        </is>
      </c>
      <c r="G433" s="2" t="n">
        <v>0</v>
      </c>
      <c r="H433" s="2">
        <f>INDEX(Parametros!$B$2:$B$9,MATCH(G433,Parametros!$A$2:$A$9,0))</f>
        <v/>
      </c>
      <c r="I433" s="4">
        <f>1/(VALUE(MID(F433,1,1))/Parametros!$E$2+VALUE(MID(F433,2,1))/Parametros!$E$3+VALUE(MID(F433,3,1))/Parametros!$E$4+VALUE(MID(F433,4,1))/Parametros!$E$5)</f>
        <v/>
      </c>
      <c r="J433" s="5">
        <f>IF(G433=0,Parametros!$E$8,Parametros!$E$6+Parametros!$E$6*(Parametros!$E$7/G433+I433)/(Parametros!$E$6+Parametros!$E$7/G433+I433))</f>
        <v/>
      </c>
      <c r="K433" s="2" t="inlineStr">
        <is>
          <t>2026-08-10 16:15</t>
        </is>
      </c>
      <c r="L433" s="6" t="inlineStr">
        <is>
          <t>Válido</t>
        </is>
      </c>
      <c r="M433" s="2">
        <f>IF(L433="Válido","Sim","Não")</f>
        <v/>
      </c>
      <c r="N433" s="2" t="inlineStr"/>
    </row>
    <row r="434">
      <c r="A434" s="2" t="inlineStr">
        <is>
          <t>7Bracos_2700_R1000_150W_2026-08-10_16_15.csv</t>
        </is>
      </c>
      <c r="B434" s="2" t="inlineStr">
        <is>
          <t>150W_2700RPM_R1000</t>
        </is>
      </c>
      <c r="C434" s="2" t="n">
        <v>150</v>
      </c>
      <c r="D434" s="2" t="n">
        <v>2700</v>
      </c>
      <c r="E434" s="3">
        <f>D434*2/60</f>
        <v/>
      </c>
      <c r="F434" s="2" t="inlineStr">
        <is>
          <t>1000</t>
        </is>
      </c>
      <c r="G434" s="2" t="n">
        <v>7</v>
      </c>
      <c r="H434" s="2">
        <f>INDEX(Parametros!$B$2:$B$9,MATCH(G434,Parametros!$A$2:$A$9,0))</f>
        <v/>
      </c>
      <c r="I434" s="4">
        <f>1/(VALUE(MID(F434,1,1))/Parametros!$E$2+VALUE(MID(F434,2,1))/Parametros!$E$3+VALUE(MID(F434,3,1))/Parametros!$E$4+VALUE(MID(F434,4,1))/Parametros!$E$5)</f>
        <v/>
      </c>
      <c r="J434" s="5">
        <f>IF(G434=0,Parametros!$E$8,Parametros!$E$6+Parametros!$E$6*(Parametros!$E$7/G434+I434)/(Parametros!$E$6+Parametros!$E$7/G434+I434))</f>
        <v/>
      </c>
      <c r="K434" s="2" t="inlineStr">
        <is>
          <t>2026-08-10 16:15</t>
        </is>
      </c>
      <c r="L434" s="6" t="inlineStr">
        <is>
          <t>Válido</t>
        </is>
      </c>
      <c r="M434" s="2">
        <f>IF(L434="Válido","Sim","Não")</f>
        <v/>
      </c>
      <c r="N434" s="2" t="inlineStr"/>
    </row>
    <row r="435">
      <c r="A435" s="2" t="inlineStr">
        <is>
          <t>6Bracos_2700_R1000_150W_2026-08-10_16_15.csv</t>
        </is>
      </c>
      <c r="B435" s="2" t="inlineStr">
        <is>
          <t>150W_2700RPM_R1000</t>
        </is>
      </c>
      <c r="C435" s="2" t="n">
        <v>150</v>
      </c>
      <c r="D435" s="2" t="n">
        <v>2700</v>
      </c>
      <c r="E435" s="3">
        <f>D435*2/60</f>
        <v/>
      </c>
      <c r="F435" s="2" t="inlineStr">
        <is>
          <t>1000</t>
        </is>
      </c>
      <c r="G435" s="2" t="n">
        <v>6</v>
      </c>
      <c r="H435" s="2">
        <f>INDEX(Parametros!$B$2:$B$9,MATCH(G435,Parametros!$A$2:$A$9,0))</f>
        <v/>
      </c>
      <c r="I435" s="4">
        <f>1/(VALUE(MID(F435,1,1))/Parametros!$E$2+VALUE(MID(F435,2,1))/Parametros!$E$3+VALUE(MID(F435,3,1))/Parametros!$E$4+VALUE(MID(F435,4,1))/Parametros!$E$5)</f>
        <v/>
      </c>
      <c r="J435" s="5">
        <f>IF(G435=0,Parametros!$E$8,Parametros!$E$6+Parametros!$E$6*(Parametros!$E$7/G435+I435)/(Parametros!$E$6+Parametros!$E$7/G435+I435))</f>
        <v/>
      </c>
      <c r="K435" s="2" t="inlineStr">
        <is>
          <t>2026-08-10 16:15</t>
        </is>
      </c>
      <c r="L435" s="6" t="inlineStr">
        <is>
          <t>Válido</t>
        </is>
      </c>
      <c r="M435" s="2">
        <f>IF(L435="Válido","Sim","Não")</f>
        <v/>
      </c>
      <c r="N435" s="2" t="inlineStr"/>
    </row>
    <row r="436">
      <c r="A436" s="2" t="inlineStr">
        <is>
          <t>5Bracos_2700_R1000_150W_2026-08-10_16_15.csv</t>
        </is>
      </c>
      <c r="B436" s="2" t="inlineStr">
        <is>
          <t>150W_2700RPM_R1000</t>
        </is>
      </c>
      <c r="C436" s="2" t="n">
        <v>150</v>
      </c>
      <c r="D436" s="2" t="n">
        <v>2700</v>
      </c>
      <c r="E436" s="3">
        <f>D436*2/60</f>
        <v/>
      </c>
      <c r="F436" s="2" t="inlineStr">
        <is>
          <t>1000</t>
        </is>
      </c>
      <c r="G436" s="2" t="n">
        <v>5</v>
      </c>
      <c r="H436" s="2">
        <f>INDEX(Parametros!$B$2:$B$9,MATCH(G436,Parametros!$A$2:$A$9,0))</f>
        <v/>
      </c>
      <c r="I436" s="4">
        <f>1/(VALUE(MID(F436,1,1))/Parametros!$E$2+VALUE(MID(F436,2,1))/Parametros!$E$3+VALUE(MID(F436,3,1))/Parametros!$E$4+VALUE(MID(F436,4,1))/Parametros!$E$5)</f>
        <v/>
      </c>
      <c r="J436" s="5">
        <f>IF(G436=0,Parametros!$E$8,Parametros!$E$6+Parametros!$E$6*(Parametros!$E$7/G436+I436)/(Parametros!$E$6+Parametros!$E$7/G436+I436))</f>
        <v/>
      </c>
      <c r="K436" s="2" t="inlineStr">
        <is>
          <t>2026-08-10 16:15</t>
        </is>
      </c>
      <c r="L436" s="6" t="inlineStr">
        <is>
          <t>Válido</t>
        </is>
      </c>
      <c r="M436" s="2">
        <f>IF(L436="Válido","Sim","Não")</f>
        <v/>
      </c>
      <c r="N436" s="2" t="inlineStr"/>
    </row>
    <row r="437">
      <c r="A437" s="2" t="inlineStr">
        <is>
          <t>4Bracos_2700_R1000_150W_2026-08-10_16_15.csv</t>
        </is>
      </c>
      <c r="B437" s="2" t="inlineStr">
        <is>
          <t>150W_2700RPM_R1000</t>
        </is>
      </c>
      <c r="C437" s="2" t="n">
        <v>150</v>
      </c>
      <c r="D437" s="2" t="n">
        <v>2700</v>
      </c>
      <c r="E437" s="3">
        <f>D437*2/60</f>
        <v/>
      </c>
      <c r="F437" s="2" t="inlineStr">
        <is>
          <t>1000</t>
        </is>
      </c>
      <c r="G437" s="2" t="n">
        <v>4</v>
      </c>
      <c r="H437" s="2">
        <f>INDEX(Parametros!$B$2:$B$9,MATCH(G437,Parametros!$A$2:$A$9,0))</f>
        <v/>
      </c>
      <c r="I437" s="4">
        <f>1/(VALUE(MID(F437,1,1))/Parametros!$E$2+VALUE(MID(F437,2,1))/Parametros!$E$3+VALUE(MID(F437,3,1))/Parametros!$E$4+VALUE(MID(F437,4,1))/Parametros!$E$5)</f>
        <v/>
      </c>
      <c r="J437" s="5">
        <f>IF(G437=0,Parametros!$E$8,Parametros!$E$6+Parametros!$E$6*(Parametros!$E$7/G437+I437)/(Parametros!$E$6+Parametros!$E$7/G437+I437))</f>
        <v/>
      </c>
      <c r="K437" s="2" t="inlineStr">
        <is>
          <t>2026-08-10 16:15</t>
        </is>
      </c>
      <c r="L437" s="6" t="inlineStr">
        <is>
          <t>Válido</t>
        </is>
      </c>
      <c r="M437" s="2">
        <f>IF(L437="Válido","Sim","Não")</f>
        <v/>
      </c>
      <c r="N437" s="2" t="inlineStr"/>
    </row>
    <row r="438">
      <c r="A438" s="2" t="inlineStr">
        <is>
          <t>3Bracos_2700_R1000_150W_2026-08-10_16_15.csv</t>
        </is>
      </c>
      <c r="B438" s="2" t="inlineStr">
        <is>
          <t>150W_2700RPM_R1000</t>
        </is>
      </c>
      <c r="C438" s="2" t="n">
        <v>150</v>
      </c>
      <c r="D438" s="2" t="n">
        <v>2700</v>
      </c>
      <c r="E438" s="3">
        <f>D438*2/60</f>
        <v/>
      </c>
      <c r="F438" s="2" t="inlineStr">
        <is>
          <t>1000</t>
        </is>
      </c>
      <c r="G438" s="2" t="n">
        <v>3</v>
      </c>
      <c r="H438" s="2">
        <f>INDEX(Parametros!$B$2:$B$9,MATCH(G438,Parametros!$A$2:$A$9,0))</f>
        <v/>
      </c>
      <c r="I438" s="4">
        <f>1/(VALUE(MID(F438,1,1))/Parametros!$E$2+VALUE(MID(F438,2,1))/Parametros!$E$3+VALUE(MID(F438,3,1))/Parametros!$E$4+VALUE(MID(F438,4,1))/Parametros!$E$5)</f>
        <v/>
      </c>
      <c r="J438" s="5">
        <f>IF(G438=0,Parametros!$E$8,Parametros!$E$6+Parametros!$E$6*(Parametros!$E$7/G438+I438)/(Parametros!$E$6+Parametros!$E$7/G438+I438))</f>
        <v/>
      </c>
      <c r="K438" s="2" t="inlineStr">
        <is>
          <t>2026-08-10 16:15</t>
        </is>
      </c>
      <c r="L438" s="6" t="inlineStr">
        <is>
          <t>Válido</t>
        </is>
      </c>
      <c r="M438" s="2">
        <f>IF(L438="Válido","Sim","Não")</f>
        <v/>
      </c>
      <c r="N438" s="2" t="inlineStr"/>
    </row>
    <row r="439">
      <c r="A439" s="2" t="inlineStr">
        <is>
          <t>2Bracos_2700_R1000_150W_2026-08-10_16_15.csv</t>
        </is>
      </c>
      <c r="B439" s="2" t="inlineStr">
        <is>
          <t>150W_2700RPM_R1000</t>
        </is>
      </c>
      <c r="C439" s="2" t="n">
        <v>150</v>
      </c>
      <c r="D439" s="2" t="n">
        <v>2700</v>
      </c>
      <c r="E439" s="3">
        <f>D439*2/60</f>
        <v/>
      </c>
      <c r="F439" s="2" t="inlineStr">
        <is>
          <t>1000</t>
        </is>
      </c>
      <c r="G439" s="2" t="n">
        <v>2</v>
      </c>
      <c r="H439" s="2">
        <f>INDEX(Parametros!$B$2:$B$9,MATCH(G439,Parametros!$A$2:$A$9,0))</f>
        <v/>
      </c>
      <c r="I439" s="4">
        <f>1/(VALUE(MID(F439,1,1))/Parametros!$E$2+VALUE(MID(F439,2,1))/Parametros!$E$3+VALUE(MID(F439,3,1))/Parametros!$E$4+VALUE(MID(F439,4,1))/Parametros!$E$5)</f>
        <v/>
      </c>
      <c r="J439" s="5">
        <f>IF(G439=0,Parametros!$E$8,Parametros!$E$6+Parametros!$E$6*(Parametros!$E$7/G439+I439)/(Parametros!$E$6+Parametros!$E$7/G439+I439))</f>
        <v/>
      </c>
      <c r="K439" s="2" t="inlineStr">
        <is>
          <t>2026-08-10 16:15</t>
        </is>
      </c>
      <c r="L439" s="6" t="inlineStr">
        <is>
          <t>Válido</t>
        </is>
      </c>
      <c r="M439" s="2">
        <f>IF(L439="Válido","Sim","Não")</f>
        <v/>
      </c>
      <c r="N439" s="2" t="inlineStr"/>
    </row>
    <row r="440">
      <c r="A440" s="2" t="inlineStr">
        <is>
          <t>1Bracos_2700_R1000_150W_2026-08-10_16_15.csv</t>
        </is>
      </c>
      <c r="B440" s="2" t="inlineStr">
        <is>
          <t>150W_2700RPM_R1000</t>
        </is>
      </c>
      <c r="C440" s="2" t="n">
        <v>150</v>
      </c>
      <c r="D440" s="2" t="n">
        <v>2700</v>
      </c>
      <c r="E440" s="3">
        <f>D440*2/60</f>
        <v/>
      </c>
      <c r="F440" s="2" t="inlineStr">
        <is>
          <t>1000</t>
        </is>
      </c>
      <c r="G440" s="2" t="n">
        <v>1</v>
      </c>
      <c r="H440" s="2">
        <f>INDEX(Parametros!$B$2:$B$9,MATCH(G440,Parametros!$A$2:$A$9,0))</f>
        <v/>
      </c>
      <c r="I440" s="4">
        <f>1/(VALUE(MID(F440,1,1))/Parametros!$E$2+VALUE(MID(F440,2,1))/Parametros!$E$3+VALUE(MID(F440,3,1))/Parametros!$E$4+VALUE(MID(F440,4,1))/Parametros!$E$5)</f>
        <v/>
      </c>
      <c r="J440" s="5">
        <f>IF(G440=0,Parametros!$E$8,Parametros!$E$6+Parametros!$E$6*(Parametros!$E$7/G440+I440)/(Parametros!$E$6+Parametros!$E$7/G440+I440))</f>
        <v/>
      </c>
      <c r="K440" s="2" t="inlineStr">
        <is>
          <t>2026-08-10 16:15</t>
        </is>
      </c>
      <c r="L440" s="6" t="inlineStr">
        <is>
          <t>Válido</t>
        </is>
      </c>
      <c r="M440" s="2">
        <f>IF(L440="Válido","Sim","Não")</f>
        <v/>
      </c>
      <c r="N440" s="2" t="inlineStr"/>
    </row>
    <row r="441">
      <c r="A441" s="2" t="inlineStr">
        <is>
          <t>0Bracos_2700_R1000_150W_2026-08-10_16_15.csv</t>
        </is>
      </c>
      <c r="B441" s="2" t="inlineStr">
        <is>
          <t>150W_2700RPM_R1000</t>
        </is>
      </c>
      <c r="C441" s="2" t="n">
        <v>150</v>
      </c>
      <c r="D441" s="2" t="n">
        <v>2700</v>
      </c>
      <c r="E441" s="3">
        <f>D441*2/60</f>
        <v/>
      </c>
      <c r="F441" s="2" t="inlineStr">
        <is>
          <t>1000</t>
        </is>
      </c>
      <c r="G441" s="2" t="n">
        <v>0</v>
      </c>
      <c r="H441" s="2">
        <f>INDEX(Parametros!$B$2:$B$9,MATCH(G441,Parametros!$A$2:$A$9,0))</f>
        <v/>
      </c>
      <c r="I441" s="4">
        <f>1/(VALUE(MID(F441,1,1))/Parametros!$E$2+VALUE(MID(F441,2,1))/Parametros!$E$3+VALUE(MID(F441,3,1))/Parametros!$E$4+VALUE(MID(F441,4,1))/Parametros!$E$5)</f>
        <v/>
      </c>
      <c r="J441" s="5">
        <f>IF(G441=0,Parametros!$E$8,Parametros!$E$6+Parametros!$E$6*(Parametros!$E$7/G441+I441)/(Parametros!$E$6+Parametros!$E$7/G441+I441))</f>
        <v/>
      </c>
      <c r="K441" s="2" t="inlineStr">
        <is>
          <t>2026-08-10 16:15</t>
        </is>
      </c>
      <c r="L441" s="6" t="inlineStr">
        <is>
          <t>Válido</t>
        </is>
      </c>
      <c r="M441" s="2">
        <f>IF(L441="Válido","Sim","Não")</f>
        <v/>
      </c>
      <c r="N441" s="2" t="inlineStr"/>
    </row>
    <row r="442">
      <c r="A442" s="2" t="inlineStr">
        <is>
          <t>7Bracos_2700_R1001_150W_2026-08-10_16_15.csv</t>
        </is>
      </c>
      <c r="B442" s="2" t="inlineStr">
        <is>
          <t>150W_2700RPM_R1001</t>
        </is>
      </c>
      <c r="C442" s="2" t="n">
        <v>150</v>
      </c>
      <c r="D442" s="2" t="n">
        <v>2700</v>
      </c>
      <c r="E442" s="3">
        <f>D442*2/60</f>
        <v/>
      </c>
      <c r="F442" s="2" t="inlineStr">
        <is>
          <t>1001</t>
        </is>
      </c>
      <c r="G442" s="2" t="n">
        <v>7</v>
      </c>
      <c r="H442" s="2">
        <f>INDEX(Parametros!$B$2:$B$9,MATCH(G442,Parametros!$A$2:$A$9,0))</f>
        <v/>
      </c>
      <c r="I442" s="4">
        <f>1/(VALUE(MID(F442,1,1))/Parametros!$E$2+VALUE(MID(F442,2,1))/Parametros!$E$3+VALUE(MID(F442,3,1))/Parametros!$E$4+VALUE(MID(F442,4,1))/Parametros!$E$5)</f>
        <v/>
      </c>
      <c r="J442" s="5">
        <f>IF(G442=0,Parametros!$E$8,Parametros!$E$6+Parametros!$E$6*(Parametros!$E$7/G442+I442)/(Parametros!$E$6+Parametros!$E$7/G442+I442))</f>
        <v/>
      </c>
      <c r="K442" s="2" t="inlineStr">
        <is>
          <t>2026-08-10 16:15</t>
        </is>
      </c>
      <c r="L442" s="6" t="inlineStr">
        <is>
          <t>Válido</t>
        </is>
      </c>
      <c r="M442" s="2">
        <f>IF(L442="Válido","Sim","Não")</f>
        <v/>
      </c>
      <c r="N442" s="2" t="inlineStr"/>
    </row>
    <row r="443">
      <c r="A443" s="2" t="inlineStr">
        <is>
          <t>6Bracos_2700_R1001_150W_2026-08-10_16_15.csv</t>
        </is>
      </c>
      <c r="B443" s="2" t="inlineStr">
        <is>
          <t>150W_2700RPM_R1001</t>
        </is>
      </c>
      <c r="C443" s="2" t="n">
        <v>150</v>
      </c>
      <c r="D443" s="2" t="n">
        <v>2700</v>
      </c>
      <c r="E443" s="3">
        <f>D443*2/60</f>
        <v/>
      </c>
      <c r="F443" s="2" t="inlineStr">
        <is>
          <t>1001</t>
        </is>
      </c>
      <c r="G443" s="2" t="n">
        <v>6</v>
      </c>
      <c r="H443" s="2">
        <f>INDEX(Parametros!$B$2:$B$9,MATCH(G443,Parametros!$A$2:$A$9,0))</f>
        <v/>
      </c>
      <c r="I443" s="4">
        <f>1/(VALUE(MID(F443,1,1))/Parametros!$E$2+VALUE(MID(F443,2,1))/Parametros!$E$3+VALUE(MID(F443,3,1))/Parametros!$E$4+VALUE(MID(F443,4,1))/Parametros!$E$5)</f>
        <v/>
      </c>
      <c r="J443" s="5">
        <f>IF(G443=0,Parametros!$E$8,Parametros!$E$6+Parametros!$E$6*(Parametros!$E$7/G443+I443)/(Parametros!$E$6+Parametros!$E$7/G443+I443))</f>
        <v/>
      </c>
      <c r="K443" s="2" t="inlineStr">
        <is>
          <t>2026-08-10 16:15</t>
        </is>
      </c>
      <c r="L443" s="6" t="inlineStr">
        <is>
          <t>Válido</t>
        </is>
      </c>
      <c r="M443" s="2">
        <f>IF(L443="Válido","Sim","Não")</f>
        <v/>
      </c>
      <c r="N443" s="2" t="inlineStr"/>
    </row>
    <row r="444">
      <c r="A444" s="2" t="inlineStr">
        <is>
          <t>5Bracos_2700_R1001_150W_2026-08-10_16_15.csv</t>
        </is>
      </c>
      <c r="B444" s="2" t="inlineStr">
        <is>
          <t>150W_2700RPM_R1001</t>
        </is>
      </c>
      <c r="C444" s="2" t="n">
        <v>150</v>
      </c>
      <c r="D444" s="2" t="n">
        <v>2700</v>
      </c>
      <c r="E444" s="3">
        <f>D444*2/60</f>
        <v/>
      </c>
      <c r="F444" s="2" t="inlineStr">
        <is>
          <t>1001</t>
        </is>
      </c>
      <c r="G444" s="2" t="n">
        <v>5</v>
      </c>
      <c r="H444" s="2">
        <f>INDEX(Parametros!$B$2:$B$9,MATCH(G444,Parametros!$A$2:$A$9,0))</f>
        <v/>
      </c>
      <c r="I444" s="4">
        <f>1/(VALUE(MID(F444,1,1))/Parametros!$E$2+VALUE(MID(F444,2,1))/Parametros!$E$3+VALUE(MID(F444,3,1))/Parametros!$E$4+VALUE(MID(F444,4,1))/Parametros!$E$5)</f>
        <v/>
      </c>
      <c r="J444" s="5">
        <f>IF(G444=0,Parametros!$E$8,Parametros!$E$6+Parametros!$E$6*(Parametros!$E$7/G444+I444)/(Parametros!$E$6+Parametros!$E$7/G444+I444))</f>
        <v/>
      </c>
      <c r="K444" s="2" t="inlineStr">
        <is>
          <t>2026-08-10 16:15</t>
        </is>
      </c>
      <c r="L444" s="6" t="inlineStr">
        <is>
          <t>Válido</t>
        </is>
      </c>
      <c r="M444" s="2">
        <f>IF(L444="Válido","Sim","Não")</f>
        <v/>
      </c>
      <c r="N444" s="2" t="inlineStr"/>
    </row>
    <row r="445">
      <c r="A445" s="2" t="inlineStr">
        <is>
          <t>4Bracos_2700_R1001_150W_2026-08-10_16_15.csv</t>
        </is>
      </c>
      <c r="B445" s="2" t="inlineStr">
        <is>
          <t>150W_2700RPM_R1001</t>
        </is>
      </c>
      <c r="C445" s="2" t="n">
        <v>150</v>
      </c>
      <c r="D445" s="2" t="n">
        <v>2700</v>
      </c>
      <c r="E445" s="3">
        <f>D445*2/60</f>
        <v/>
      </c>
      <c r="F445" s="2" t="inlineStr">
        <is>
          <t>1001</t>
        </is>
      </c>
      <c r="G445" s="2" t="n">
        <v>4</v>
      </c>
      <c r="H445" s="2">
        <f>INDEX(Parametros!$B$2:$B$9,MATCH(G445,Parametros!$A$2:$A$9,0))</f>
        <v/>
      </c>
      <c r="I445" s="4">
        <f>1/(VALUE(MID(F445,1,1))/Parametros!$E$2+VALUE(MID(F445,2,1))/Parametros!$E$3+VALUE(MID(F445,3,1))/Parametros!$E$4+VALUE(MID(F445,4,1))/Parametros!$E$5)</f>
        <v/>
      </c>
      <c r="J445" s="5">
        <f>IF(G445=0,Parametros!$E$8,Parametros!$E$6+Parametros!$E$6*(Parametros!$E$7/G445+I445)/(Parametros!$E$6+Parametros!$E$7/G445+I445))</f>
        <v/>
      </c>
      <c r="K445" s="2" t="inlineStr">
        <is>
          <t>2026-08-10 16:15</t>
        </is>
      </c>
      <c r="L445" s="6" t="inlineStr">
        <is>
          <t>Válido</t>
        </is>
      </c>
      <c r="M445" s="2">
        <f>IF(L445="Válido","Sim","Não")</f>
        <v/>
      </c>
      <c r="N445" s="2" t="inlineStr"/>
    </row>
    <row r="446">
      <c r="A446" s="2" t="inlineStr">
        <is>
          <t>3Bracos_2700_R1001_150W_2026-08-10_16_15.csv</t>
        </is>
      </c>
      <c r="B446" s="2" t="inlineStr">
        <is>
          <t>150W_2700RPM_R1001</t>
        </is>
      </c>
      <c r="C446" s="2" t="n">
        <v>150</v>
      </c>
      <c r="D446" s="2" t="n">
        <v>2700</v>
      </c>
      <c r="E446" s="3">
        <f>D446*2/60</f>
        <v/>
      </c>
      <c r="F446" s="2" t="inlineStr">
        <is>
          <t>1001</t>
        </is>
      </c>
      <c r="G446" s="2" t="n">
        <v>3</v>
      </c>
      <c r="H446" s="2">
        <f>INDEX(Parametros!$B$2:$B$9,MATCH(G446,Parametros!$A$2:$A$9,0))</f>
        <v/>
      </c>
      <c r="I446" s="4">
        <f>1/(VALUE(MID(F446,1,1))/Parametros!$E$2+VALUE(MID(F446,2,1))/Parametros!$E$3+VALUE(MID(F446,3,1))/Parametros!$E$4+VALUE(MID(F446,4,1))/Parametros!$E$5)</f>
        <v/>
      </c>
      <c r="J446" s="5">
        <f>IF(G446=0,Parametros!$E$8,Parametros!$E$6+Parametros!$E$6*(Parametros!$E$7/G446+I446)/(Parametros!$E$6+Parametros!$E$7/G446+I446))</f>
        <v/>
      </c>
      <c r="K446" s="2" t="inlineStr">
        <is>
          <t>2026-08-10 16:15</t>
        </is>
      </c>
      <c r="L446" s="6" t="inlineStr">
        <is>
          <t>Válido</t>
        </is>
      </c>
      <c r="M446" s="2">
        <f>IF(L446="Válido","Sim","Não")</f>
        <v/>
      </c>
      <c r="N446" s="2" t="inlineStr"/>
    </row>
    <row r="447">
      <c r="A447" s="2" t="inlineStr">
        <is>
          <t>2Bracos_2700_R1001_150W_2026-08-10_16_15.csv</t>
        </is>
      </c>
      <c r="B447" s="2" t="inlineStr">
        <is>
          <t>150W_2700RPM_R1001</t>
        </is>
      </c>
      <c r="C447" s="2" t="n">
        <v>150</v>
      </c>
      <c r="D447" s="2" t="n">
        <v>2700</v>
      </c>
      <c r="E447" s="3">
        <f>D447*2/60</f>
        <v/>
      </c>
      <c r="F447" s="2" t="inlineStr">
        <is>
          <t>1001</t>
        </is>
      </c>
      <c r="G447" s="2" t="n">
        <v>2</v>
      </c>
      <c r="H447" s="2">
        <f>INDEX(Parametros!$B$2:$B$9,MATCH(G447,Parametros!$A$2:$A$9,0))</f>
        <v/>
      </c>
      <c r="I447" s="4">
        <f>1/(VALUE(MID(F447,1,1))/Parametros!$E$2+VALUE(MID(F447,2,1))/Parametros!$E$3+VALUE(MID(F447,3,1))/Parametros!$E$4+VALUE(MID(F447,4,1))/Parametros!$E$5)</f>
        <v/>
      </c>
      <c r="J447" s="5">
        <f>IF(G447=0,Parametros!$E$8,Parametros!$E$6+Parametros!$E$6*(Parametros!$E$7/G447+I447)/(Parametros!$E$6+Parametros!$E$7/G447+I447))</f>
        <v/>
      </c>
      <c r="K447" s="2" t="inlineStr">
        <is>
          <t>2026-08-10 16:15</t>
        </is>
      </c>
      <c r="L447" s="6" t="inlineStr">
        <is>
          <t>Válido</t>
        </is>
      </c>
      <c r="M447" s="2">
        <f>IF(L447="Válido","Sim","Não")</f>
        <v/>
      </c>
      <c r="N447" s="2" t="inlineStr"/>
    </row>
    <row r="448">
      <c r="A448" s="2" t="inlineStr">
        <is>
          <t>1Bracos_2700_R1001_150W_2026-08-10_16_15.csv</t>
        </is>
      </c>
      <c r="B448" s="2" t="inlineStr">
        <is>
          <t>150W_2700RPM_R1001</t>
        </is>
      </c>
      <c r="C448" s="2" t="n">
        <v>150</v>
      </c>
      <c r="D448" s="2" t="n">
        <v>2700</v>
      </c>
      <c r="E448" s="3">
        <f>D448*2/60</f>
        <v/>
      </c>
      <c r="F448" s="2" t="inlineStr">
        <is>
          <t>1001</t>
        </is>
      </c>
      <c r="G448" s="2" t="n">
        <v>1</v>
      </c>
      <c r="H448" s="2">
        <f>INDEX(Parametros!$B$2:$B$9,MATCH(G448,Parametros!$A$2:$A$9,0))</f>
        <v/>
      </c>
      <c r="I448" s="4">
        <f>1/(VALUE(MID(F448,1,1))/Parametros!$E$2+VALUE(MID(F448,2,1))/Parametros!$E$3+VALUE(MID(F448,3,1))/Parametros!$E$4+VALUE(MID(F448,4,1))/Parametros!$E$5)</f>
        <v/>
      </c>
      <c r="J448" s="5">
        <f>IF(G448=0,Parametros!$E$8,Parametros!$E$6+Parametros!$E$6*(Parametros!$E$7/G448+I448)/(Parametros!$E$6+Parametros!$E$7/G448+I448))</f>
        <v/>
      </c>
      <c r="K448" s="2" t="inlineStr">
        <is>
          <t>2026-08-10 16:15</t>
        </is>
      </c>
      <c r="L448" s="6" t="inlineStr">
        <is>
          <t>Válido</t>
        </is>
      </c>
      <c r="M448" s="2">
        <f>IF(L448="Válido","Sim","Não")</f>
        <v/>
      </c>
      <c r="N448" s="2" t="inlineStr"/>
    </row>
    <row r="449">
      <c r="A449" s="2" t="inlineStr">
        <is>
          <t>0Bracos_2700_R1001_150W_2026-08-10_16_15.csv</t>
        </is>
      </c>
      <c r="B449" s="2" t="inlineStr">
        <is>
          <t>150W_2700RPM_R1001</t>
        </is>
      </c>
      <c r="C449" s="2" t="n">
        <v>150</v>
      </c>
      <c r="D449" s="2" t="n">
        <v>2700</v>
      </c>
      <c r="E449" s="3">
        <f>D449*2/60</f>
        <v/>
      </c>
      <c r="F449" s="2" t="inlineStr">
        <is>
          <t>1001</t>
        </is>
      </c>
      <c r="G449" s="2" t="n">
        <v>0</v>
      </c>
      <c r="H449" s="2">
        <f>INDEX(Parametros!$B$2:$B$9,MATCH(G449,Parametros!$A$2:$A$9,0))</f>
        <v/>
      </c>
      <c r="I449" s="4">
        <f>1/(VALUE(MID(F449,1,1))/Parametros!$E$2+VALUE(MID(F449,2,1))/Parametros!$E$3+VALUE(MID(F449,3,1))/Parametros!$E$4+VALUE(MID(F449,4,1))/Parametros!$E$5)</f>
        <v/>
      </c>
      <c r="J449" s="5">
        <f>IF(G449=0,Parametros!$E$8,Parametros!$E$6+Parametros!$E$6*(Parametros!$E$7/G449+I449)/(Parametros!$E$6+Parametros!$E$7/G449+I449))</f>
        <v/>
      </c>
      <c r="K449" s="2" t="inlineStr">
        <is>
          <t>2026-08-10 16:15</t>
        </is>
      </c>
      <c r="L449" s="6" t="inlineStr">
        <is>
          <t>Válido</t>
        </is>
      </c>
      <c r="M449" s="2">
        <f>IF(L449="Válido","Sim","Não")</f>
        <v/>
      </c>
      <c r="N449" s="2" t="inlineStr"/>
    </row>
    <row r="450">
      <c r="A450" s="2" t="inlineStr">
        <is>
          <t>7Bracos_2700_R1010_150W_2026-08-10_16_15.csv</t>
        </is>
      </c>
      <c r="B450" s="2" t="inlineStr">
        <is>
          <t>150W_2700RPM_R1010</t>
        </is>
      </c>
      <c r="C450" s="2" t="n">
        <v>150</v>
      </c>
      <c r="D450" s="2" t="n">
        <v>2700</v>
      </c>
      <c r="E450" s="3">
        <f>D450*2/60</f>
        <v/>
      </c>
      <c r="F450" s="2" t="inlineStr">
        <is>
          <t>1010</t>
        </is>
      </c>
      <c r="G450" s="2" t="n">
        <v>7</v>
      </c>
      <c r="H450" s="2">
        <f>INDEX(Parametros!$B$2:$B$9,MATCH(G450,Parametros!$A$2:$A$9,0))</f>
        <v/>
      </c>
      <c r="I450" s="4">
        <f>1/(VALUE(MID(F450,1,1))/Parametros!$E$2+VALUE(MID(F450,2,1))/Parametros!$E$3+VALUE(MID(F450,3,1))/Parametros!$E$4+VALUE(MID(F450,4,1))/Parametros!$E$5)</f>
        <v/>
      </c>
      <c r="J450" s="5">
        <f>IF(G450=0,Parametros!$E$8,Parametros!$E$6+Parametros!$E$6*(Parametros!$E$7/G450+I450)/(Parametros!$E$6+Parametros!$E$7/G450+I450))</f>
        <v/>
      </c>
      <c r="K450" s="2" t="inlineStr">
        <is>
          <t>2026-08-10 16:15</t>
        </is>
      </c>
      <c r="L450" s="6" t="inlineStr">
        <is>
          <t>Válido</t>
        </is>
      </c>
      <c r="M450" s="2">
        <f>IF(L450="Válido","Sim","Não")</f>
        <v/>
      </c>
      <c r="N450" s="2" t="inlineStr"/>
    </row>
    <row r="451">
      <c r="A451" s="2" t="inlineStr">
        <is>
          <t>6Bracos_2700_R1010_150W_2026-08-10_16_15.csv</t>
        </is>
      </c>
      <c r="B451" s="2" t="inlineStr">
        <is>
          <t>150W_2700RPM_R1010</t>
        </is>
      </c>
      <c r="C451" s="2" t="n">
        <v>150</v>
      </c>
      <c r="D451" s="2" t="n">
        <v>2700</v>
      </c>
      <c r="E451" s="3">
        <f>D451*2/60</f>
        <v/>
      </c>
      <c r="F451" s="2" t="inlineStr">
        <is>
          <t>1010</t>
        </is>
      </c>
      <c r="G451" s="2" t="n">
        <v>6</v>
      </c>
      <c r="H451" s="2">
        <f>INDEX(Parametros!$B$2:$B$9,MATCH(G451,Parametros!$A$2:$A$9,0))</f>
        <v/>
      </c>
      <c r="I451" s="4">
        <f>1/(VALUE(MID(F451,1,1))/Parametros!$E$2+VALUE(MID(F451,2,1))/Parametros!$E$3+VALUE(MID(F451,3,1))/Parametros!$E$4+VALUE(MID(F451,4,1))/Parametros!$E$5)</f>
        <v/>
      </c>
      <c r="J451" s="5">
        <f>IF(G451=0,Parametros!$E$8,Parametros!$E$6+Parametros!$E$6*(Parametros!$E$7/G451+I451)/(Parametros!$E$6+Parametros!$E$7/G451+I451))</f>
        <v/>
      </c>
      <c r="K451" s="2" t="inlineStr">
        <is>
          <t>2026-08-10 16:15</t>
        </is>
      </c>
      <c r="L451" s="6" t="inlineStr">
        <is>
          <t>Válido</t>
        </is>
      </c>
      <c r="M451" s="2">
        <f>IF(L451="Válido","Sim","Não")</f>
        <v/>
      </c>
      <c r="N451" s="2" t="inlineStr"/>
    </row>
    <row r="452">
      <c r="A452" s="2" t="inlineStr">
        <is>
          <t>5Bracos_2700_R1010_150W_2026-08-10_16_15.csv</t>
        </is>
      </c>
      <c r="B452" s="2" t="inlineStr">
        <is>
          <t>150W_2700RPM_R1010</t>
        </is>
      </c>
      <c r="C452" s="2" t="n">
        <v>150</v>
      </c>
      <c r="D452" s="2" t="n">
        <v>2700</v>
      </c>
      <c r="E452" s="3">
        <f>D452*2/60</f>
        <v/>
      </c>
      <c r="F452" s="2" t="inlineStr">
        <is>
          <t>1010</t>
        </is>
      </c>
      <c r="G452" s="2" t="n">
        <v>5</v>
      </c>
      <c r="H452" s="2">
        <f>INDEX(Parametros!$B$2:$B$9,MATCH(G452,Parametros!$A$2:$A$9,0))</f>
        <v/>
      </c>
      <c r="I452" s="4">
        <f>1/(VALUE(MID(F452,1,1))/Parametros!$E$2+VALUE(MID(F452,2,1))/Parametros!$E$3+VALUE(MID(F452,3,1))/Parametros!$E$4+VALUE(MID(F452,4,1))/Parametros!$E$5)</f>
        <v/>
      </c>
      <c r="J452" s="5">
        <f>IF(G452=0,Parametros!$E$8,Parametros!$E$6+Parametros!$E$6*(Parametros!$E$7/G452+I452)/(Parametros!$E$6+Parametros!$E$7/G452+I452))</f>
        <v/>
      </c>
      <c r="K452" s="2" t="inlineStr">
        <is>
          <t>2026-08-10 16:15</t>
        </is>
      </c>
      <c r="L452" s="6" t="inlineStr">
        <is>
          <t>Válido</t>
        </is>
      </c>
      <c r="M452" s="2">
        <f>IF(L452="Válido","Sim","Não")</f>
        <v/>
      </c>
      <c r="N452" s="2" t="inlineStr"/>
    </row>
    <row r="453">
      <c r="A453" s="2" t="inlineStr">
        <is>
          <t>4Bracos_2700_R1010_150W_2026-08-10_16_15.csv</t>
        </is>
      </c>
      <c r="B453" s="2" t="inlineStr">
        <is>
          <t>150W_2700RPM_R1010</t>
        </is>
      </c>
      <c r="C453" s="2" t="n">
        <v>150</v>
      </c>
      <c r="D453" s="2" t="n">
        <v>2700</v>
      </c>
      <c r="E453" s="3">
        <f>D453*2/60</f>
        <v/>
      </c>
      <c r="F453" s="2" t="inlineStr">
        <is>
          <t>1010</t>
        </is>
      </c>
      <c r="G453" s="2" t="n">
        <v>4</v>
      </c>
      <c r="H453" s="2">
        <f>INDEX(Parametros!$B$2:$B$9,MATCH(G453,Parametros!$A$2:$A$9,0))</f>
        <v/>
      </c>
      <c r="I453" s="4">
        <f>1/(VALUE(MID(F453,1,1))/Parametros!$E$2+VALUE(MID(F453,2,1))/Parametros!$E$3+VALUE(MID(F453,3,1))/Parametros!$E$4+VALUE(MID(F453,4,1))/Parametros!$E$5)</f>
        <v/>
      </c>
      <c r="J453" s="5">
        <f>IF(G453=0,Parametros!$E$8,Parametros!$E$6+Parametros!$E$6*(Parametros!$E$7/G453+I453)/(Parametros!$E$6+Parametros!$E$7/G453+I453))</f>
        <v/>
      </c>
      <c r="K453" s="2" t="inlineStr">
        <is>
          <t>2026-08-10 16:15</t>
        </is>
      </c>
      <c r="L453" s="6" t="inlineStr">
        <is>
          <t>Válido</t>
        </is>
      </c>
      <c r="M453" s="2">
        <f>IF(L453="Válido","Sim","Não")</f>
        <v/>
      </c>
      <c r="N453" s="2" t="inlineStr"/>
    </row>
    <row r="454">
      <c r="A454" s="2" t="inlineStr">
        <is>
          <t>3Bracos_2700_R1010_150W_2026-08-10_16_15.csv</t>
        </is>
      </c>
      <c r="B454" s="2" t="inlineStr">
        <is>
          <t>150W_2700RPM_R1010</t>
        </is>
      </c>
      <c r="C454" s="2" t="n">
        <v>150</v>
      </c>
      <c r="D454" s="2" t="n">
        <v>2700</v>
      </c>
      <c r="E454" s="3">
        <f>D454*2/60</f>
        <v/>
      </c>
      <c r="F454" s="2" t="inlineStr">
        <is>
          <t>1010</t>
        </is>
      </c>
      <c r="G454" s="2" t="n">
        <v>3</v>
      </c>
      <c r="H454" s="2">
        <f>INDEX(Parametros!$B$2:$B$9,MATCH(G454,Parametros!$A$2:$A$9,0))</f>
        <v/>
      </c>
      <c r="I454" s="4">
        <f>1/(VALUE(MID(F454,1,1))/Parametros!$E$2+VALUE(MID(F454,2,1))/Parametros!$E$3+VALUE(MID(F454,3,1))/Parametros!$E$4+VALUE(MID(F454,4,1))/Parametros!$E$5)</f>
        <v/>
      </c>
      <c r="J454" s="5">
        <f>IF(G454=0,Parametros!$E$8,Parametros!$E$6+Parametros!$E$6*(Parametros!$E$7/G454+I454)/(Parametros!$E$6+Parametros!$E$7/G454+I454))</f>
        <v/>
      </c>
      <c r="K454" s="2" t="inlineStr">
        <is>
          <t>2026-08-10 16:15</t>
        </is>
      </c>
      <c r="L454" s="6" t="inlineStr">
        <is>
          <t>Válido</t>
        </is>
      </c>
      <c r="M454" s="2">
        <f>IF(L454="Válido","Sim","Não")</f>
        <v/>
      </c>
      <c r="N454" s="2" t="inlineStr"/>
    </row>
    <row r="455">
      <c r="A455" s="2" t="inlineStr">
        <is>
          <t>2Bracos_2700_R1010_150W_2026-08-10_16_15.csv</t>
        </is>
      </c>
      <c r="B455" s="2" t="inlineStr">
        <is>
          <t>150W_2700RPM_R1010</t>
        </is>
      </c>
      <c r="C455" s="2" t="n">
        <v>150</v>
      </c>
      <c r="D455" s="2" t="n">
        <v>2700</v>
      </c>
      <c r="E455" s="3">
        <f>D455*2/60</f>
        <v/>
      </c>
      <c r="F455" s="2" t="inlineStr">
        <is>
          <t>1010</t>
        </is>
      </c>
      <c r="G455" s="2" t="n">
        <v>2</v>
      </c>
      <c r="H455" s="2">
        <f>INDEX(Parametros!$B$2:$B$9,MATCH(G455,Parametros!$A$2:$A$9,0))</f>
        <v/>
      </c>
      <c r="I455" s="4">
        <f>1/(VALUE(MID(F455,1,1))/Parametros!$E$2+VALUE(MID(F455,2,1))/Parametros!$E$3+VALUE(MID(F455,3,1))/Parametros!$E$4+VALUE(MID(F455,4,1))/Parametros!$E$5)</f>
        <v/>
      </c>
      <c r="J455" s="5">
        <f>IF(G455=0,Parametros!$E$8,Parametros!$E$6+Parametros!$E$6*(Parametros!$E$7/G455+I455)/(Parametros!$E$6+Parametros!$E$7/G455+I455))</f>
        <v/>
      </c>
      <c r="K455" s="2" t="inlineStr">
        <is>
          <t>2026-08-10 16:15</t>
        </is>
      </c>
      <c r="L455" s="6" t="inlineStr">
        <is>
          <t>Válido</t>
        </is>
      </c>
      <c r="M455" s="2">
        <f>IF(L455="Válido","Sim","Não")</f>
        <v/>
      </c>
      <c r="N455" s="2" t="inlineStr"/>
    </row>
    <row r="456">
      <c r="A456" s="2" t="inlineStr">
        <is>
          <t>1Bracos_2700_R1010_150W_2026-08-10_16_15.csv</t>
        </is>
      </c>
      <c r="B456" s="2" t="inlineStr">
        <is>
          <t>150W_2700RPM_R1010</t>
        </is>
      </c>
      <c r="C456" s="2" t="n">
        <v>150</v>
      </c>
      <c r="D456" s="2" t="n">
        <v>2700</v>
      </c>
      <c r="E456" s="3">
        <f>D456*2/60</f>
        <v/>
      </c>
      <c r="F456" s="2" t="inlineStr">
        <is>
          <t>1010</t>
        </is>
      </c>
      <c r="G456" s="2" t="n">
        <v>1</v>
      </c>
      <c r="H456" s="2">
        <f>INDEX(Parametros!$B$2:$B$9,MATCH(G456,Parametros!$A$2:$A$9,0))</f>
        <v/>
      </c>
      <c r="I456" s="4">
        <f>1/(VALUE(MID(F456,1,1))/Parametros!$E$2+VALUE(MID(F456,2,1))/Parametros!$E$3+VALUE(MID(F456,3,1))/Parametros!$E$4+VALUE(MID(F456,4,1))/Parametros!$E$5)</f>
        <v/>
      </c>
      <c r="J456" s="5">
        <f>IF(G456=0,Parametros!$E$8,Parametros!$E$6+Parametros!$E$6*(Parametros!$E$7/G456+I456)/(Parametros!$E$6+Parametros!$E$7/G456+I456))</f>
        <v/>
      </c>
      <c r="K456" s="2" t="inlineStr">
        <is>
          <t>2026-08-10 16:15</t>
        </is>
      </c>
      <c r="L456" s="6" t="inlineStr">
        <is>
          <t>Válido</t>
        </is>
      </c>
      <c r="M456" s="2">
        <f>IF(L456="Válido","Sim","Não")</f>
        <v/>
      </c>
      <c r="N456" s="2" t="inlineStr"/>
    </row>
    <row r="457">
      <c r="A457" s="2" t="inlineStr">
        <is>
          <t>0Bracos_2700_R1010_150W_2026-08-10_16_15.csv</t>
        </is>
      </c>
      <c r="B457" s="2" t="inlineStr">
        <is>
          <t>150W_2700RPM_R1010</t>
        </is>
      </c>
      <c r="C457" s="2" t="n">
        <v>150</v>
      </c>
      <c r="D457" s="2" t="n">
        <v>2700</v>
      </c>
      <c r="E457" s="3">
        <f>D457*2/60</f>
        <v/>
      </c>
      <c r="F457" s="2" t="inlineStr">
        <is>
          <t>1010</t>
        </is>
      </c>
      <c r="G457" s="2" t="n">
        <v>0</v>
      </c>
      <c r="H457" s="2">
        <f>INDEX(Parametros!$B$2:$B$9,MATCH(G457,Parametros!$A$2:$A$9,0))</f>
        <v/>
      </c>
      <c r="I457" s="4">
        <f>1/(VALUE(MID(F457,1,1))/Parametros!$E$2+VALUE(MID(F457,2,1))/Parametros!$E$3+VALUE(MID(F457,3,1))/Parametros!$E$4+VALUE(MID(F457,4,1))/Parametros!$E$5)</f>
        <v/>
      </c>
      <c r="J457" s="5">
        <f>IF(G457=0,Parametros!$E$8,Parametros!$E$6+Parametros!$E$6*(Parametros!$E$7/G457+I457)/(Parametros!$E$6+Parametros!$E$7/G457+I457))</f>
        <v/>
      </c>
      <c r="K457" s="2" t="inlineStr">
        <is>
          <t>2026-08-10 16:15</t>
        </is>
      </c>
      <c r="L457" s="6" t="inlineStr">
        <is>
          <t>Válido</t>
        </is>
      </c>
      <c r="M457" s="2">
        <f>IF(L457="Válido","Sim","Não")</f>
        <v/>
      </c>
      <c r="N457" s="2" t="inlineStr"/>
    </row>
    <row r="458">
      <c r="A458" s="2" t="inlineStr">
        <is>
          <t>7Bracos_2700_R1011_150W_2026-08-10_16_15.csv</t>
        </is>
      </c>
      <c r="B458" s="2" t="inlineStr">
        <is>
          <t>150W_2700RPM_R1011</t>
        </is>
      </c>
      <c r="C458" s="2" t="n">
        <v>150</v>
      </c>
      <c r="D458" s="2" t="n">
        <v>2700</v>
      </c>
      <c r="E458" s="3">
        <f>D458*2/60</f>
        <v/>
      </c>
      <c r="F458" s="2" t="inlineStr">
        <is>
          <t>1011</t>
        </is>
      </c>
      <c r="G458" s="2" t="n">
        <v>7</v>
      </c>
      <c r="H458" s="2">
        <f>INDEX(Parametros!$B$2:$B$9,MATCH(G458,Parametros!$A$2:$A$9,0))</f>
        <v/>
      </c>
      <c r="I458" s="4">
        <f>1/(VALUE(MID(F458,1,1))/Parametros!$E$2+VALUE(MID(F458,2,1))/Parametros!$E$3+VALUE(MID(F458,3,1))/Parametros!$E$4+VALUE(MID(F458,4,1))/Parametros!$E$5)</f>
        <v/>
      </c>
      <c r="J458" s="5">
        <f>IF(G458=0,Parametros!$E$8,Parametros!$E$6+Parametros!$E$6*(Parametros!$E$7/G458+I458)/(Parametros!$E$6+Parametros!$E$7/G458+I458))</f>
        <v/>
      </c>
      <c r="K458" s="2" t="inlineStr">
        <is>
          <t>2026-08-10 16:15</t>
        </is>
      </c>
      <c r="L458" s="6" t="inlineStr">
        <is>
          <t>Válido</t>
        </is>
      </c>
      <c r="M458" s="2">
        <f>IF(L458="Válido","Sim","Não")</f>
        <v/>
      </c>
      <c r="N458" s="2" t="inlineStr"/>
    </row>
    <row r="459">
      <c r="A459" s="2" t="inlineStr">
        <is>
          <t>6Bracos_2700_R1011_150W_2026-08-10_16_15.csv</t>
        </is>
      </c>
      <c r="B459" s="2" t="inlineStr">
        <is>
          <t>150W_2700RPM_R1011</t>
        </is>
      </c>
      <c r="C459" s="2" t="n">
        <v>150</v>
      </c>
      <c r="D459" s="2" t="n">
        <v>2700</v>
      </c>
      <c r="E459" s="3">
        <f>D459*2/60</f>
        <v/>
      </c>
      <c r="F459" s="2" t="inlineStr">
        <is>
          <t>1011</t>
        </is>
      </c>
      <c r="G459" s="2" t="n">
        <v>6</v>
      </c>
      <c r="H459" s="2">
        <f>INDEX(Parametros!$B$2:$B$9,MATCH(G459,Parametros!$A$2:$A$9,0))</f>
        <v/>
      </c>
      <c r="I459" s="4">
        <f>1/(VALUE(MID(F459,1,1))/Parametros!$E$2+VALUE(MID(F459,2,1))/Parametros!$E$3+VALUE(MID(F459,3,1))/Parametros!$E$4+VALUE(MID(F459,4,1))/Parametros!$E$5)</f>
        <v/>
      </c>
      <c r="J459" s="5">
        <f>IF(G459=0,Parametros!$E$8,Parametros!$E$6+Parametros!$E$6*(Parametros!$E$7/G459+I459)/(Parametros!$E$6+Parametros!$E$7/G459+I459))</f>
        <v/>
      </c>
      <c r="K459" s="2" t="inlineStr">
        <is>
          <t>2026-08-10 16:15</t>
        </is>
      </c>
      <c r="L459" s="6" t="inlineStr">
        <is>
          <t>Válido</t>
        </is>
      </c>
      <c r="M459" s="2">
        <f>IF(L459="Válido","Sim","Não")</f>
        <v/>
      </c>
      <c r="N459" s="2" t="inlineStr"/>
    </row>
    <row r="460">
      <c r="A460" s="2" t="inlineStr">
        <is>
          <t>5Bracos_2700_R1011_150W_2026-08-10_16_15.csv</t>
        </is>
      </c>
      <c r="B460" s="2" t="inlineStr">
        <is>
          <t>150W_2700RPM_R1011</t>
        </is>
      </c>
      <c r="C460" s="2" t="n">
        <v>150</v>
      </c>
      <c r="D460" s="2" t="n">
        <v>2700</v>
      </c>
      <c r="E460" s="3">
        <f>D460*2/60</f>
        <v/>
      </c>
      <c r="F460" s="2" t="inlineStr">
        <is>
          <t>1011</t>
        </is>
      </c>
      <c r="G460" s="2" t="n">
        <v>5</v>
      </c>
      <c r="H460" s="2">
        <f>INDEX(Parametros!$B$2:$B$9,MATCH(G460,Parametros!$A$2:$A$9,0))</f>
        <v/>
      </c>
      <c r="I460" s="4">
        <f>1/(VALUE(MID(F460,1,1))/Parametros!$E$2+VALUE(MID(F460,2,1))/Parametros!$E$3+VALUE(MID(F460,3,1))/Parametros!$E$4+VALUE(MID(F460,4,1))/Parametros!$E$5)</f>
        <v/>
      </c>
      <c r="J460" s="5">
        <f>IF(G460=0,Parametros!$E$8,Parametros!$E$6+Parametros!$E$6*(Parametros!$E$7/G460+I460)/(Parametros!$E$6+Parametros!$E$7/G460+I460))</f>
        <v/>
      </c>
      <c r="K460" s="2" t="inlineStr">
        <is>
          <t>2026-08-10 16:15</t>
        </is>
      </c>
      <c r="L460" s="6" t="inlineStr">
        <is>
          <t>Válido</t>
        </is>
      </c>
      <c r="M460" s="2">
        <f>IF(L460="Válido","Sim","Não")</f>
        <v/>
      </c>
      <c r="N460" s="2" t="inlineStr"/>
    </row>
    <row r="461">
      <c r="A461" s="2" t="inlineStr">
        <is>
          <t>4Bracos_2700_R1011_150W_2026-08-10_16_15.csv</t>
        </is>
      </c>
      <c r="B461" s="2" t="inlineStr">
        <is>
          <t>150W_2700RPM_R1011</t>
        </is>
      </c>
      <c r="C461" s="2" t="n">
        <v>150</v>
      </c>
      <c r="D461" s="2" t="n">
        <v>2700</v>
      </c>
      <c r="E461" s="3">
        <f>D461*2/60</f>
        <v/>
      </c>
      <c r="F461" s="2" t="inlineStr">
        <is>
          <t>1011</t>
        </is>
      </c>
      <c r="G461" s="2" t="n">
        <v>4</v>
      </c>
      <c r="H461" s="2">
        <f>INDEX(Parametros!$B$2:$B$9,MATCH(G461,Parametros!$A$2:$A$9,0))</f>
        <v/>
      </c>
      <c r="I461" s="4">
        <f>1/(VALUE(MID(F461,1,1))/Parametros!$E$2+VALUE(MID(F461,2,1))/Parametros!$E$3+VALUE(MID(F461,3,1))/Parametros!$E$4+VALUE(MID(F461,4,1))/Parametros!$E$5)</f>
        <v/>
      </c>
      <c r="J461" s="5">
        <f>IF(G461=0,Parametros!$E$8,Parametros!$E$6+Parametros!$E$6*(Parametros!$E$7/G461+I461)/(Parametros!$E$6+Parametros!$E$7/G461+I461))</f>
        <v/>
      </c>
      <c r="K461" s="2" t="inlineStr">
        <is>
          <t>2026-08-10 16:15</t>
        </is>
      </c>
      <c r="L461" s="6" t="inlineStr">
        <is>
          <t>Válido</t>
        </is>
      </c>
      <c r="M461" s="2">
        <f>IF(L461="Válido","Sim","Não")</f>
        <v/>
      </c>
      <c r="N461" s="2" t="inlineStr"/>
    </row>
    <row r="462">
      <c r="A462" s="2" t="inlineStr">
        <is>
          <t>3Bracos_2700_R1011_150W_2026-08-10_16_15.csv</t>
        </is>
      </c>
      <c r="B462" s="2" t="inlineStr">
        <is>
          <t>150W_2700RPM_R1011</t>
        </is>
      </c>
      <c r="C462" s="2" t="n">
        <v>150</v>
      </c>
      <c r="D462" s="2" t="n">
        <v>2700</v>
      </c>
      <c r="E462" s="3">
        <f>D462*2/60</f>
        <v/>
      </c>
      <c r="F462" s="2" t="inlineStr">
        <is>
          <t>1011</t>
        </is>
      </c>
      <c r="G462" s="2" t="n">
        <v>3</v>
      </c>
      <c r="H462" s="2">
        <f>INDEX(Parametros!$B$2:$B$9,MATCH(G462,Parametros!$A$2:$A$9,0))</f>
        <v/>
      </c>
      <c r="I462" s="4">
        <f>1/(VALUE(MID(F462,1,1))/Parametros!$E$2+VALUE(MID(F462,2,1))/Parametros!$E$3+VALUE(MID(F462,3,1))/Parametros!$E$4+VALUE(MID(F462,4,1))/Parametros!$E$5)</f>
        <v/>
      </c>
      <c r="J462" s="5">
        <f>IF(G462=0,Parametros!$E$8,Parametros!$E$6+Parametros!$E$6*(Parametros!$E$7/G462+I462)/(Parametros!$E$6+Parametros!$E$7/G462+I462))</f>
        <v/>
      </c>
      <c r="K462" s="2" t="inlineStr">
        <is>
          <t>2026-08-10 16:15</t>
        </is>
      </c>
      <c r="L462" s="6" t="inlineStr">
        <is>
          <t>Válido</t>
        </is>
      </c>
      <c r="M462" s="2">
        <f>IF(L462="Válido","Sim","Não")</f>
        <v/>
      </c>
      <c r="N462" s="2" t="inlineStr"/>
    </row>
    <row r="463">
      <c r="A463" s="2" t="inlineStr">
        <is>
          <t>2Bracos_2700_R1011_150W_2026-08-10_16_15.csv</t>
        </is>
      </c>
      <c r="B463" s="2" t="inlineStr">
        <is>
          <t>150W_2700RPM_R1011</t>
        </is>
      </c>
      <c r="C463" s="2" t="n">
        <v>150</v>
      </c>
      <c r="D463" s="2" t="n">
        <v>2700</v>
      </c>
      <c r="E463" s="3">
        <f>D463*2/60</f>
        <v/>
      </c>
      <c r="F463" s="2" t="inlineStr">
        <is>
          <t>1011</t>
        </is>
      </c>
      <c r="G463" s="2" t="n">
        <v>2</v>
      </c>
      <c r="H463" s="2">
        <f>INDEX(Parametros!$B$2:$B$9,MATCH(G463,Parametros!$A$2:$A$9,0))</f>
        <v/>
      </c>
      <c r="I463" s="4">
        <f>1/(VALUE(MID(F463,1,1))/Parametros!$E$2+VALUE(MID(F463,2,1))/Parametros!$E$3+VALUE(MID(F463,3,1))/Parametros!$E$4+VALUE(MID(F463,4,1))/Parametros!$E$5)</f>
        <v/>
      </c>
      <c r="J463" s="5">
        <f>IF(G463=0,Parametros!$E$8,Parametros!$E$6+Parametros!$E$6*(Parametros!$E$7/G463+I463)/(Parametros!$E$6+Parametros!$E$7/G463+I463))</f>
        <v/>
      </c>
      <c r="K463" s="2" t="inlineStr">
        <is>
          <t>2026-08-10 16:15</t>
        </is>
      </c>
      <c r="L463" s="6" t="inlineStr">
        <is>
          <t>Válido</t>
        </is>
      </c>
      <c r="M463" s="2">
        <f>IF(L463="Válido","Sim","Não")</f>
        <v/>
      </c>
      <c r="N463" s="2" t="inlineStr"/>
    </row>
    <row r="464">
      <c r="A464" s="2" t="inlineStr">
        <is>
          <t>1Bracos_2700_R1011_150W_2026-08-10_16_15.csv</t>
        </is>
      </c>
      <c r="B464" s="2" t="inlineStr">
        <is>
          <t>150W_2700RPM_R1011</t>
        </is>
      </c>
      <c r="C464" s="2" t="n">
        <v>150</v>
      </c>
      <c r="D464" s="2" t="n">
        <v>2700</v>
      </c>
      <c r="E464" s="3">
        <f>D464*2/60</f>
        <v/>
      </c>
      <c r="F464" s="2" t="inlineStr">
        <is>
          <t>1011</t>
        </is>
      </c>
      <c r="G464" s="2" t="n">
        <v>1</v>
      </c>
      <c r="H464" s="2">
        <f>INDEX(Parametros!$B$2:$B$9,MATCH(G464,Parametros!$A$2:$A$9,0))</f>
        <v/>
      </c>
      <c r="I464" s="4">
        <f>1/(VALUE(MID(F464,1,1))/Parametros!$E$2+VALUE(MID(F464,2,1))/Parametros!$E$3+VALUE(MID(F464,3,1))/Parametros!$E$4+VALUE(MID(F464,4,1))/Parametros!$E$5)</f>
        <v/>
      </c>
      <c r="J464" s="5">
        <f>IF(G464=0,Parametros!$E$8,Parametros!$E$6+Parametros!$E$6*(Parametros!$E$7/G464+I464)/(Parametros!$E$6+Parametros!$E$7/G464+I464))</f>
        <v/>
      </c>
      <c r="K464" s="2" t="inlineStr">
        <is>
          <t>2026-08-10 16:15</t>
        </is>
      </c>
      <c r="L464" s="6" t="inlineStr">
        <is>
          <t>Válido</t>
        </is>
      </c>
      <c r="M464" s="2">
        <f>IF(L464="Válido","Sim","Não")</f>
        <v/>
      </c>
      <c r="N464" s="2" t="inlineStr"/>
    </row>
    <row r="465">
      <c r="A465" s="2" t="inlineStr">
        <is>
          <t>0Bracos_2700_R1011_150W_2026-08-10_16_15.csv</t>
        </is>
      </c>
      <c r="B465" s="2" t="inlineStr">
        <is>
          <t>150W_2700RPM_R1011</t>
        </is>
      </c>
      <c r="C465" s="2" t="n">
        <v>150</v>
      </c>
      <c r="D465" s="2" t="n">
        <v>2700</v>
      </c>
      <c r="E465" s="3">
        <f>D465*2/60</f>
        <v/>
      </c>
      <c r="F465" s="2" t="inlineStr">
        <is>
          <t>1011</t>
        </is>
      </c>
      <c r="G465" s="2" t="n">
        <v>0</v>
      </c>
      <c r="H465" s="2">
        <f>INDEX(Parametros!$B$2:$B$9,MATCH(G465,Parametros!$A$2:$A$9,0))</f>
        <v/>
      </c>
      <c r="I465" s="4">
        <f>1/(VALUE(MID(F465,1,1))/Parametros!$E$2+VALUE(MID(F465,2,1))/Parametros!$E$3+VALUE(MID(F465,3,1))/Parametros!$E$4+VALUE(MID(F465,4,1))/Parametros!$E$5)</f>
        <v/>
      </c>
      <c r="J465" s="5">
        <f>IF(G465=0,Parametros!$E$8,Parametros!$E$6+Parametros!$E$6*(Parametros!$E$7/G465+I465)/(Parametros!$E$6+Parametros!$E$7/G465+I465))</f>
        <v/>
      </c>
      <c r="K465" s="2" t="inlineStr">
        <is>
          <t>2026-08-10 16:15</t>
        </is>
      </c>
      <c r="L465" s="6" t="inlineStr">
        <is>
          <t>Válido</t>
        </is>
      </c>
      <c r="M465" s="2">
        <f>IF(L465="Válido","Sim","Não")</f>
        <v/>
      </c>
      <c r="N465" s="2" t="inlineStr"/>
    </row>
    <row r="466">
      <c r="A466" s="2" t="inlineStr">
        <is>
          <t>7Bracos_2700_R1100_150W_2026-08-10_16_15.csv</t>
        </is>
      </c>
      <c r="B466" s="2" t="inlineStr">
        <is>
          <t>150W_2700RPM_R1100</t>
        </is>
      </c>
      <c r="C466" s="2" t="n">
        <v>150</v>
      </c>
      <c r="D466" s="2" t="n">
        <v>2700</v>
      </c>
      <c r="E466" s="3">
        <f>D466*2/60</f>
        <v/>
      </c>
      <c r="F466" s="2" t="inlineStr">
        <is>
          <t>1100</t>
        </is>
      </c>
      <c r="G466" s="2" t="n">
        <v>7</v>
      </c>
      <c r="H466" s="2">
        <f>INDEX(Parametros!$B$2:$B$9,MATCH(G466,Parametros!$A$2:$A$9,0))</f>
        <v/>
      </c>
      <c r="I466" s="4">
        <f>1/(VALUE(MID(F466,1,1))/Parametros!$E$2+VALUE(MID(F466,2,1))/Parametros!$E$3+VALUE(MID(F466,3,1))/Parametros!$E$4+VALUE(MID(F466,4,1))/Parametros!$E$5)</f>
        <v/>
      </c>
      <c r="J466" s="5">
        <f>IF(G466=0,Parametros!$E$8,Parametros!$E$6+Parametros!$E$6*(Parametros!$E$7/G466+I466)/(Parametros!$E$6+Parametros!$E$7/G466+I466))</f>
        <v/>
      </c>
      <c r="K466" s="2" t="inlineStr">
        <is>
          <t>2026-08-10 16:15</t>
        </is>
      </c>
      <c r="L466" s="6" t="inlineStr">
        <is>
          <t>Válido</t>
        </is>
      </c>
      <c r="M466" s="2">
        <f>IF(L466="Válido","Sim","Não")</f>
        <v/>
      </c>
      <c r="N466" s="2" t="inlineStr"/>
    </row>
    <row r="467">
      <c r="A467" s="2" t="inlineStr">
        <is>
          <t>6Bracos_2700_R1100_150W_2026-08-10_16_15.csv</t>
        </is>
      </c>
      <c r="B467" s="2" t="inlineStr">
        <is>
          <t>150W_2700RPM_R1100</t>
        </is>
      </c>
      <c r="C467" s="2" t="n">
        <v>150</v>
      </c>
      <c r="D467" s="2" t="n">
        <v>2700</v>
      </c>
      <c r="E467" s="3">
        <f>D467*2/60</f>
        <v/>
      </c>
      <c r="F467" s="2" t="inlineStr">
        <is>
          <t>1100</t>
        </is>
      </c>
      <c r="G467" s="2" t="n">
        <v>6</v>
      </c>
      <c r="H467" s="2">
        <f>INDEX(Parametros!$B$2:$B$9,MATCH(G467,Parametros!$A$2:$A$9,0))</f>
        <v/>
      </c>
      <c r="I467" s="4">
        <f>1/(VALUE(MID(F467,1,1))/Parametros!$E$2+VALUE(MID(F467,2,1))/Parametros!$E$3+VALUE(MID(F467,3,1))/Parametros!$E$4+VALUE(MID(F467,4,1))/Parametros!$E$5)</f>
        <v/>
      </c>
      <c r="J467" s="5">
        <f>IF(G467=0,Parametros!$E$8,Parametros!$E$6+Parametros!$E$6*(Parametros!$E$7/G467+I467)/(Parametros!$E$6+Parametros!$E$7/G467+I467))</f>
        <v/>
      </c>
      <c r="K467" s="2" t="inlineStr">
        <is>
          <t>2026-08-10 16:15</t>
        </is>
      </c>
      <c r="L467" s="6" t="inlineStr">
        <is>
          <t>Válido</t>
        </is>
      </c>
      <c r="M467" s="2">
        <f>IF(L467="Válido","Sim","Não")</f>
        <v/>
      </c>
      <c r="N467" s="2" t="inlineStr"/>
    </row>
    <row r="468">
      <c r="A468" s="2" t="inlineStr">
        <is>
          <t>5Bracos_2700_R1100_150W_2026-08-10_16_15.csv</t>
        </is>
      </c>
      <c r="B468" s="2" t="inlineStr">
        <is>
          <t>150W_2700RPM_R1100</t>
        </is>
      </c>
      <c r="C468" s="2" t="n">
        <v>150</v>
      </c>
      <c r="D468" s="2" t="n">
        <v>2700</v>
      </c>
      <c r="E468" s="3">
        <f>D468*2/60</f>
        <v/>
      </c>
      <c r="F468" s="2" t="inlineStr">
        <is>
          <t>1100</t>
        </is>
      </c>
      <c r="G468" s="2" t="n">
        <v>5</v>
      </c>
      <c r="H468" s="2">
        <f>INDEX(Parametros!$B$2:$B$9,MATCH(G468,Parametros!$A$2:$A$9,0))</f>
        <v/>
      </c>
      <c r="I468" s="4">
        <f>1/(VALUE(MID(F468,1,1))/Parametros!$E$2+VALUE(MID(F468,2,1))/Parametros!$E$3+VALUE(MID(F468,3,1))/Parametros!$E$4+VALUE(MID(F468,4,1))/Parametros!$E$5)</f>
        <v/>
      </c>
      <c r="J468" s="5">
        <f>IF(G468=0,Parametros!$E$8,Parametros!$E$6+Parametros!$E$6*(Parametros!$E$7/G468+I468)/(Parametros!$E$6+Parametros!$E$7/G468+I468))</f>
        <v/>
      </c>
      <c r="K468" s="2" t="inlineStr">
        <is>
          <t>2026-08-10 16:15</t>
        </is>
      </c>
      <c r="L468" s="6" t="inlineStr">
        <is>
          <t>Válido</t>
        </is>
      </c>
      <c r="M468" s="2">
        <f>IF(L468="Válido","Sim","Não")</f>
        <v/>
      </c>
      <c r="N468" s="2" t="inlineStr"/>
    </row>
    <row r="469">
      <c r="A469" s="2" t="inlineStr">
        <is>
          <t>4Bracos_2700_R1100_150W_2026-08-10_16_15.csv</t>
        </is>
      </c>
      <c r="B469" s="2" t="inlineStr">
        <is>
          <t>150W_2700RPM_R1100</t>
        </is>
      </c>
      <c r="C469" s="2" t="n">
        <v>150</v>
      </c>
      <c r="D469" s="2" t="n">
        <v>2700</v>
      </c>
      <c r="E469" s="3">
        <f>D469*2/60</f>
        <v/>
      </c>
      <c r="F469" s="2" t="inlineStr">
        <is>
          <t>1100</t>
        </is>
      </c>
      <c r="G469" s="2" t="n">
        <v>4</v>
      </c>
      <c r="H469" s="2">
        <f>INDEX(Parametros!$B$2:$B$9,MATCH(G469,Parametros!$A$2:$A$9,0))</f>
        <v/>
      </c>
      <c r="I469" s="4">
        <f>1/(VALUE(MID(F469,1,1))/Parametros!$E$2+VALUE(MID(F469,2,1))/Parametros!$E$3+VALUE(MID(F469,3,1))/Parametros!$E$4+VALUE(MID(F469,4,1))/Parametros!$E$5)</f>
        <v/>
      </c>
      <c r="J469" s="5">
        <f>IF(G469=0,Parametros!$E$8,Parametros!$E$6+Parametros!$E$6*(Parametros!$E$7/G469+I469)/(Parametros!$E$6+Parametros!$E$7/G469+I469))</f>
        <v/>
      </c>
      <c r="K469" s="2" t="inlineStr">
        <is>
          <t>2026-08-10 16:15</t>
        </is>
      </c>
      <c r="L469" s="6" t="inlineStr">
        <is>
          <t>Válido</t>
        </is>
      </c>
      <c r="M469" s="2">
        <f>IF(L469="Válido","Sim","Não")</f>
        <v/>
      </c>
      <c r="N469" s="2" t="inlineStr"/>
    </row>
    <row r="470">
      <c r="A470" s="2" t="inlineStr">
        <is>
          <t>3Bracos_2700_R1100_150W_2026-08-10_16_15.csv</t>
        </is>
      </c>
      <c r="B470" s="2" t="inlineStr">
        <is>
          <t>150W_2700RPM_R1100</t>
        </is>
      </c>
      <c r="C470" s="2" t="n">
        <v>150</v>
      </c>
      <c r="D470" s="2" t="n">
        <v>2700</v>
      </c>
      <c r="E470" s="3">
        <f>D470*2/60</f>
        <v/>
      </c>
      <c r="F470" s="2" t="inlineStr">
        <is>
          <t>1100</t>
        </is>
      </c>
      <c r="G470" s="2" t="n">
        <v>3</v>
      </c>
      <c r="H470" s="2">
        <f>INDEX(Parametros!$B$2:$B$9,MATCH(G470,Parametros!$A$2:$A$9,0))</f>
        <v/>
      </c>
      <c r="I470" s="4">
        <f>1/(VALUE(MID(F470,1,1))/Parametros!$E$2+VALUE(MID(F470,2,1))/Parametros!$E$3+VALUE(MID(F470,3,1))/Parametros!$E$4+VALUE(MID(F470,4,1))/Parametros!$E$5)</f>
        <v/>
      </c>
      <c r="J470" s="5">
        <f>IF(G470=0,Parametros!$E$8,Parametros!$E$6+Parametros!$E$6*(Parametros!$E$7/G470+I470)/(Parametros!$E$6+Parametros!$E$7/G470+I470))</f>
        <v/>
      </c>
      <c r="K470" s="2" t="inlineStr">
        <is>
          <t>2026-08-10 16:15</t>
        </is>
      </c>
      <c r="L470" s="6" t="inlineStr">
        <is>
          <t>Válido</t>
        </is>
      </c>
      <c r="M470" s="2">
        <f>IF(L470="Válido","Sim","Não")</f>
        <v/>
      </c>
      <c r="N470" s="2" t="inlineStr"/>
    </row>
    <row r="471">
      <c r="A471" s="2" t="inlineStr">
        <is>
          <t>2Bracos_2700_R1100_150W_2026-08-10_16_15.csv</t>
        </is>
      </c>
      <c r="B471" s="2" t="inlineStr">
        <is>
          <t>150W_2700RPM_R1100</t>
        </is>
      </c>
      <c r="C471" s="2" t="n">
        <v>150</v>
      </c>
      <c r="D471" s="2" t="n">
        <v>2700</v>
      </c>
      <c r="E471" s="3">
        <f>D471*2/60</f>
        <v/>
      </c>
      <c r="F471" s="2" t="inlineStr">
        <is>
          <t>1100</t>
        </is>
      </c>
      <c r="G471" s="2" t="n">
        <v>2</v>
      </c>
      <c r="H471" s="2">
        <f>INDEX(Parametros!$B$2:$B$9,MATCH(G471,Parametros!$A$2:$A$9,0))</f>
        <v/>
      </c>
      <c r="I471" s="4">
        <f>1/(VALUE(MID(F471,1,1))/Parametros!$E$2+VALUE(MID(F471,2,1))/Parametros!$E$3+VALUE(MID(F471,3,1))/Parametros!$E$4+VALUE(MID(F471,4,1))/Parametros!$E$5)</f>
        <v/>
      </c>
      <c r="J471" s="5">
        <f>IF(G471=0,Parametros!$E$8,Parametros!$E$6+Parametros!$E$6*(Parametros!$E$7/G471+I471)/(Parametros!$E$6+Parametros!$E$7/G471+I471))</f>
        <v/>
      </c>
      <c r="K471" s="2" t="inlineStr">
        <is>
          <t>2026-08-10 16:15</t>
        </is>
      </c>
      <c r="L471" s="6" t="inlineStr">
        <is>
          <t>Válido</t>
        </is>
      </c>
      <c r="M471" s="2">
        <f>IF(L471="Válido","Sim","Não")</f>
        <v/>
      </c>
      <c r="N471" s="2" t="inlineStr"/>
    </row>
    <row r="472">
      <c r="A472" s="2" t="inlineStr">
        <is>
          <t>1Bracos_2700_R1100_150W_2026-08-10_16_15.csv</t>
        </is>
      </c>
      <c r="B472" s="2" t="inlineStr">
        <is>
          <t>150W_2700RPM_R1100</t>
        </is>
      </c>
      <c r="C472" s="2" t="n">
        <v>150</v>
      </c>
      <c r="D472" s="2" t="n">
        <v>2700</v>
      </c>
      <c r="E472" s="3">
        <f>D472*2/60</f>
        <v/>
      </c>
      <c r="F472" s="2" t="inlineStr">
        <is>
          <t>1100</t>
        </is>
      </c>
      <c r="G472" s="2" t="n">
        <v>1</v>
      </c>
      <c r="H472" s="2">
        <f>INDEX(Parametros!$B$2:$B$9,MATCH(G472,Parametros!$A$2:$A$9,0))</f>
        <v/>
      </c>
      <c r="I472" s="4">
        <f>1/(VALUE(MID(F472,1,1))/Parametros!$E$2+VALUE(MID(F472,2,1))/Parametros!$E$3+VALUE(MID(F472,3,1))/Parametros!$E$4+VALUE(MID(F472,4,1))/Parametros!$E$5)</f>
        <v/>
      </c>
      <c r="J472" s="5">
        <f>IF(G472=0,Parametros!$E$8,Parametros!$E$6+Parametros!$E$6*(Parametros!$E$7/G472+I472)/(Parametros!$E$6+Parametros!$E$7/G472+I472))</f>
        <v/>
      </c>
      <c r="K472" s="2" t="inlineStr">
        <is>
          <t>2026-08-10 16:15</t>
        </is>
      </c>
      <c r="L472" s="6" t="inlineStr">
        <is>
          <t>Válido</t>
        </is>
      </c>
      <c r="M472" s="2">
        <f>IF(L472="Válido","Sim","Não")</f>
        <v/>
      </c>
      <c r="N472" s="2" t="inlineStr"/>
    </row>
    <row r="473">
      <c r="A473" s="2" t="inlineStr">
        <is>
          <t>0Bracos_2700_R1100_150W_2026-08-10_16_15.csv</t>
        </is>
      </c>
      <c r="B473" s="2" t="inlineStr">
        <is>
          <t>150W_2700RPM_R1100</t>
        </is>
      </c>
      <c r="C473" s="2" t="n">
        <v>150</v>
      </c>
      <c r="D473" s="2" t="n">
        <v>2700</v>
      </c>
      <c r="E473" s="3">
        <f>D473*2/60</f>
        <v/>
      </c>
      <c r="F473" s="2" t="inlineStr">
        <is>
          <t>1100</t>
        </is>
      </c>
      <c r="G473" s="2" t="n">
        <v>0</v>
      </c>
      <c r="H473" s="2">
        <f>INDEX(Parametros!$B$2:$B$9,MATCH(G473,Parametros!$A$2:$A$9,0))</f>
        <v/>
      </c>
      <c r="I473" s="4">
        <f>1/(VALUE(MID(F473,1,1))/Parametros!$E$2+VALUE(MID(F473,2,1))/Parametros!$E$3+VALUE(MID(F473,3,1))/Parametros!$E$4+VALUE(MID(F473,4,1))/Parametros!$E$5)</f>
        <v/>
      </c>
      <c r="J473" s="5">
        <f>IF(G473=0,Parametros!$E$8,Parametros!$E$6+Parametros!$E$6*(Parametros!$E$7/G473+I473)/(Parametros!$E$6+Parametros!$E$7/G473+I473))</f>
        <v/>
      </c>
      <c r="K473" s="2" t="inlineStr">
        <is>
          <t>2026-08-10 16:15</t>
        </is>
      </c>
      <c r="L473" s="6" t="inlineStr">
        <is>
          <t>Válido</t>
        </is>
      </c>
      <c r="M473" s="2">
        <f>IF(L473="Válido","Sim","Não")</f>
        <v/>
      </c>
      <c r="N473" s="2" t="inlineStr"/>
    </row>
    <row r="474">
      <c r="A474" s="2" t="inlineStr">
        <is>
          <t>7Bracos_2700_R1101_150W_2026-08-10_16_15.csv</t>
        </is>
      </c>
      <c r="B474" s="2" t="inlineStr">
        <is>
          <t>150W_2700RPM_R1101</t>
        </is>
      </c>
      <c r="C474" s="2" t="n">
        <v>150</v>
      </c>
      <c r="D474" s="2" t="n">
        <v>2700</v>
      </c>
      <c r="E474" s="3">
        <f>D474*2/60</f>
        <v/>
      </c>
      <c r="F474" s="2" t="inlineStr">
        <is>
          <t>1101</t>
        </is>
      </c>
      <c r="G474" s="2" t="n">
        <v>7</v>
      </c>
      <c r="H474" s="2">
        <f>INDEX(Parametros!$B$2:$B$9,MATCH(G474,Parametros!$A$2:$A$9,0))</f>
        <v/>
      </c>
      <c r="I474" s="4">
        <f>1/(VALUE(MID(F474,1,1))/Parametros!$E$2+VALUE(MID(F474,2,1))/Parametros!$E$3+VALUE(MID(F474,3,1))/Parametros!$E$4+VALUE(MID(F474,4,1))/Parametros!$E$5)</f>
        <v/>
      </c>
      <c r="J474" s="5">
        <f>IF(G474=0,Parametros!$E$8,Parametros!$E$6+Parametros!$E$6*(Parametros!$E$7/G474+I474)/(Parametros!$E$6+Parametros!$E$7/G474+I474))</f>
        <v/>
      </c>
      <c r="K474" s="2" t="inlineStr">
        <is>
          <t>2026-08-10 16:15</t>
        </is>
      </c>
      <c r="L474" s="6" t="inlineStr">
        <is>
          <t>Válido</t>
        </is>
      </c>
      <c r="M474" s="2">
        <f>IF(L474="Válido","Sim","Não")</f>
        <v/>
      </c>
      <c r="N474" s="2" t="inlineStr"/>
    </row>
    <row r="475">
      <c r="A475" s="2" t="inlineStr">
        <is>
          <t>6Bracos_2700_R1101_150W_2026-08-10_16_15.csv</t>
        </is>
      </c>
      <c r="B475" s="2" t="inlineStr">
        <is>
          <t>150W_2700RPM_R1101</t>
        </is>
      </c>
      <c r="C475" s="2" t="n">
        <v>150</v>
      </c>
      <c r="D475" s="2" t="n">
        <v>2700</v>
      </c>
      <c r="E475" s="3">
        <f>D475*2/60</f>
        <v/>
      </c>
      <c r="F475" s="2" t="inlineStr">
        <is>
          <t>1101</t>
        </is>
      </c>
      <c r="G475" s="2" t="n">
        <v>6</v>
      </c>
      <c r="H475" s="2">
        <f>INDEX(Parametros!$B$2:$B$9,MATCH(G475,Parametros!$A$2:$A$9,0))</f>
        <v/>
      </c>
      <c r="I475" s="4">
        <f>1/(VALUE(MID(F475,1,1))/Parametros!$E$2+VALUE(MID(F475,2,1))/Parametros!$E$3+VALUE(MID(F475,3,1))/Parametros!$E$4+VALUE(MID(F475,4,1))/Parametros!$E$5)</f>
        <v/>
      </c>
      <c r="J475" s="5">
        <f>IF(G475=0,Parametros!$E$8,Parametros!$E$6+Parametros!$E$6*(Parametros!$E$7/G475+I475)/(Parametros!$E$6+Parametros!$E$7/G475+I475))</f>
        <v/>
      </c>
      <c r="K475" s="2" t="inlineStr">
        <is>
          <t>2026-08-10 16:15</t>
        </is>
      </c>
      <c r="L475" s="6" t="inlineStr">
        <is>
          <t>Válido</t>
        </is>
      </c>
      <c r="M475" s="2">
        <f>IF(L475="Válido","Sim","Não")</f>
        <v/>
      </c>
      <c r="N475" s="2" t="inlineStr"/>
    </row>
    <row r="476">
      <c r="A476" s="2" t="inlineStr">
        <is>
          <t>5Bracos_2700_R1101_150W_2026-08-10_16_15.csv</t>
        </is>
      </c>
      <c r="B476" s="2" t="inlineStr">
        <is>
          <t>150W_2700RPM_R1101</t>
        </is>
      </c>
      <c r="C476" s="2" t="n">
        <v>150</v>
      </c>
      <c r="D476" s="2" t="n">
        <v>2700</v>
      </c>
      <c r="E476" s="3">
        <f>D476*2/60</f>
        <v/>
      </c>
      <c r="F476" s="2" t="inlineStr">
        <is>
          <t>1101</t>
        </is>
      </c>
      <c r="G476" s="2" t="n">
        <v>5</v>
      </c>
      <c r="H476" s="2">
        <f>INDEX(Parametros!$B$2:$B$9,MATCH(G476,Parametros!$A$2:$A$9,0))</f>
        <v/>
      </c>
      <c r="I476" s="4">
        <f>1/(VALUE(MID(F476,1,1))/Parametros!$E$2+VALUE(MID(F476,2,1))/Parametros!$E$3+VALUE(MID(F476,3,1))/Parametros!$E$4+VALUE(MID(F476,4,1))/Parametros!$E$5)</f>
        <v/>
      </c>
      <c r="J476" s="5">
        <f>IF(G476=0,Parametros!$E$8,Parametros!$E$6+Parametros!$E$6*(Parametros!$E$7/G476+I476)/(Parametros!$E$6+Parametros!$E$7/G476+I476))</f>
        <v/>
      </c>
      <c r="K476" s="2" t="inlineStr">
        <is>
          <t>2026-08-10 16:15</t>
        </is>
      </c>
      <c r="L476" s="6" t="inlineStr">
        <is>
          <t>Válido</t>
        </is>
      </c>
      <c r="M476" s="2">
        <f>IF(L476="Válido","Sim","Não")</f>
        <v/>
      </c>
      <c r="N476" s="2" t="inlineStr"/>
    </row>
    <row r="477">
      <c r="A477" s="2" t="inlineStr">
        <is>
          <t>4Bracos_2700_R1101_150W_2026-08-10_16_15.csv</t>
        </is>
      </c>
      <c r="B477" s="2" t="inlineStr">
        <is>
          <t>150W_2700RPM_R1101</t>
        </is>
      </c>
      <c r="C477" s="2" t="n">
        <v>150</v>
      </c>
      <c r="D477" s="2" t="n">
        <v>2700</v>
      </c>
      <c r="E477" s="3">
        <f>D477*2/60</f>
        <v/>
      </c>
      <c r="F477" s="2" t="inlineStr">
        <is>
          <t>1101</t>
        </is>
      </c>
      <c r="G477" s="2" t="n">
        <v>4</v>
      </c>
      <c r="H477" s="2">
        <f>INDEX(Parametros!$B$2:$B$9,MATCH(G477,Parametros!$A$2:$A$9,0))</f>
        <v/>
      </c>
      <c r="I477" s="4">
        <f>1/(VALUE(MID(F477,1,1))/Parametros!$E$2+VALUE(MID(F477,2,1))/Parametros!$E$3+VALUE(MID(F477,3,1))/Parametros!$E$4+VALUE(MID(F477,4,1))/Parametros!$E$5)</f>
        <v/>
      </c>
      <c r="J477" s="5">
        <f>IF(G477=0,Parametros!$E$8,Parametros!$E$6+Parametros!$E$6*(Parametros!$E$7/G477+I477)/(Parametros!$E$6+Parametros!$E$7/G477+I477))</f>
        <v/>
      </c>
      <c r="K477" s="2" t="inlineStr">
        <is>
          <t>2026-08-10 16:15</t>
        </is>
      </c>
      <c r="L477" s="6" t="inlineStr">
        <is>
          <t>Válido</t>
        </is>
      </c>
      <c r="M477" s="2">
        <f>IF(L477="Válido","Sim","Não")</f>
        <v/>
      </c>
      <c r="N477" s="2" t="inlineStr"/>
    </row>
    <row r="478">
      <c r="A478" s="2" t="inlineStr">
        <is>
          <t>3Bracos_2700_R1101_150W_2026-08-10_16_15.csv</t>
        </is>
      </c>
      <c r="B478" s="2" t="inlineStr">
        <is>
          <t>150W_2700RPM_R1101</t>
        </is>
      </c>
      <c r="C478" s="2" t="n">
        <v>150</v>
      </c>
      <c r="D478" s="2" t="n">
        <v>2700</v>
      </c>
      <c r="E478" s="3">
        <f>D478*2/60</f>
        <v/>
      </c>
      <c r="F478" s="2" t="inlineStr">
        <is>
          <t>1101</t>
        </is>
      </c>
      <c r="G478" s="2" t="n">
        <v>3</v>
      </c>
      <c r="H478" s="2">
        <f>INDEX(Parametros!$B$2:$B$9,MATCH(G478,Parametros!$A$2:$A$9,0))</f>
        <v/>
      </c>
      <c r="I478" s="4">
        <f>1/(VALUE(MID(F478,1,1))/Parametros!$E$2+VALUE(MID(F478,2,1))/Parametros!$E$3+VALUE(MID(F478,3,1))/Parametros!$E$4+VALUE(MID(F478,4,1))/Parametros!$E$5)</f>
        <v/>
      </c>
      <c r="J478" s="5">
        <f>IF(G478=0,Parametros!$E$8,Parametros!$E$6+Parametros!$E$6*(Parametros!$E$7/G478+I478)/(Parametros!$E$6+Parametros!$E$7/G478+I478))</f>
        <v/>
      </c>
      <c r="K478" s="2" t="inlineStr">
        <is>
          <t>2026-08-10 16:15</t>
        </is>
      </c>
      <c r="L478" s="6" t="inlineStr">
        <is>
          <t>Válido</t>
        </is>
      </c>
      <c r="M478" s="2">
        <f>IF(L478="Válido","Sim","Não")</f>
        <v/>
      </c>
      <c r="N478" s="2" t="inlineStr"/>
    </row>
    <row r="479">
      <c r="A479" s="2" t="inlineStr">
        <is>
          <t>2Bracos_2700_R1101_150W_2026-08-10_16_15.csv</t>
        </is>
      </c>
      <c r="B479" s="2" t="inlineStr">
        <is>
          <t>150W_2700RPM_R1101</t>
        </is>
      </c>
      <c r="C479" s="2" t="n">
        <v>150</v>
      </c>
      <c r="D479" s="2" t="n">
        <v>2700</v>
      </c>
      <c r="E479" s="3">
        <f>D479*2/60</f>
        <v/>
      </c>
      <c r="F479" s="2" t="inlineStr">
        <is>
          <t>1101</t>
        </is>
      </c>
      <c r="G479" s="2" t="n">
        <v>2</v>
      </c>
      <c r="H479" s="2">
        <f>INDEX(Parametros!$B$2:$B$9,MATCH(G479,Parametros!$A$2:$A$9,0))</f>
        <v/>
      </c>
      <c r="I479" s="4">
        <f>1/(VALUE(MID(F479,1,1))/Parametros!$E$2+VALUE(MID(F479,2,1))/Parametros!$E$3+VALUE(MID(F479,3,1))/Parametros!$E$4+VALUE(MID(F479,4,1))/Parametros!$E$5)</f>
        <v/>
      </c>
      <c r="J479" s="5">
        <f>IF(G479=0,Parametros!$E$8,Parametros!$E$6+Parametros!$E$6*(Parametros!$E$7/G479+I479)/(Parametros!$E$6+Parametros!$E$7/G479+I479))</f>
        <v/>
      </c>
      <c r="K479" s="2" t="inlineStr">
        <is>
          <t>2026-08-10 16:15</t>
        </is>
      </c>
      <c r="L479" s="6" t="inlineStr">
        <is>
          <t>Válido</t>
        </is>
      </c>
      <c r="M479" s="2">
        <f>IF(L479="Válido","Sim","Não")</f>
        <v/>
      </c>
      <c r="N479" s="2" t="inlineStr"/>
    </row>
    <row r="480">
      <c r="A480" s="2" t="inlineStr">
        <is>
          <t>1Bracos_2700_R1101_150W_2026-08-10_16_15.csv</t>
        </is>
      </c>
      <c r="B480" s="2" t="inlineStr">
        <is>
          <t>150W_2700RPM_R1101</t>
        </is>
      </c>
      <c r="C480" s="2" t="n">
        <v>150</v>
      </c>
      <c r="D480" s="2" t="n">
        <v>2700</v>
      </c>
      <c r="E480" s="3">
        <f>D480*2/60</f>
        <v/>
      </c>
      <c r="F480" s="2" t="inlineStr">
        <is>
          <t>1101</t>
        </is>
      </c>
      <c r="G480" s="2" t="n">
        <v>1</v>
      </c>
      <c r="H480" s="2">
        <f>INDEX(Parametros!$B$2:$B$9,MATCH(G480,Parametros!$A$2:$A$9,0))</f>
        <v/>
      </c>
      <c r="I480" s="4">
        <f>1/(VALUE(MID(F480,1,1))/Parametros!$E$2+VALUE(MID(F480,2,1))/Parametros!$E$3+VALUE(MID(F480,3,1))/Parametros!$E$4+VALUE(MID(F480,4,1))/Parametros!$E$5)</f>
        <v/>
      </c>
      <c r="J480" s="5">
        <f>IF(G480=0,Parametros!$E$8,Parametros!$E$6+Parametros!$E$6*(Parametros!$E$7/G480+I480)/(Parametros!$E$6+Parametros!$E$7/G480+I480))</f>
        <v/>
      </c>
      <c r="K480" s="2" t="inlineStr">
        <is>
          <t>2026-08-10 16:15</t>
        </is>
      </c>
      <c r="L480" s="6" t="inlineStr">
        <is>
          <t>Válido</t>
        </is>
      </c>
      <c r="M480" s="2">
        <f>IF(L480="Válido","Sim","Não")</f>
        <v/>
      </c>
      <c r="N480" s="2" t="inlineStr"/>
    </row>
    <row r="481">
      <c r="A481" s="2" t="inlineStr">
        <is>
          <t>0Bracos_2700_R1101_150W_2026-08-10_16_15.csv</t>
        </is>
      </c>
      <c r="B481" s="2" t="inlineStr">
        <is>
          <t>150W_2700RPM_R1101</t>
        </is>
      </c>
      <c r="C481" s="2" t="n">
        <v>150</v>
      </c>
      <c r="D481" s="2" t="n">
        <v>2700</v>
      </c>
      <c r="E481" s="3">
        <f>D481*2/60</f>
        <v/>
      </c>
      <c r="F481" s="2" t="inlineStr">
        <is>
          <t>1101</t>
        </is>
      </c>
      <c r="G481" s="2" t="n">
        <v>0</v>
      </c>
      <c r="H481" s="2">
        <f>INDEX(Parametros!$B$2:$B$9,MATCH(G481,Parametros!$A$2:$A$9,0))</f>
        <v/>
      </c>
      <c r="I481" s="4">
        <f>1/(VALUE(MID(F481,1,1))/Parametros!$E$2+VALUE(MID(F481,2,1))/Parametros!$E$3+VALUE(MID(F481,3,1))/Parametros!$E$4+VALUE(MID(F481,4,1))/Parametros!$E$5)</f>
        <v/>
      </c>
      <c r="J481" s="5">
        <f>IF(G481=0,Parametros!$E$8,Parametros!$E$6+Parametros!$E$6*(Parametros!$E$7/G481+I481)/(Parametros!$E$6+Parametros!$E$7/G481+I481))</f>
        <v/>
      </c>
      <c r="K481" s="2" t="inlineStr">
        <is>
          <t>2026-08-10 16:15</t>
        </is>
      </c>
      <c r="L481" s="6" t="inlineStr">
        <is>
          <t>Válido</t>
        </is>
      </c>
      <c r="M481" s="2">
        <f>IF(L481="Válido","Sim","Não")</f>
        <v/>
      </c>
      <c r="N481" s="2" t="inlineStr"/>
    </row>
    <row r="482">
      <c r="A482" s="2" t="inlineStr">
        <is>
          <t>7Bracos_2700_R1110_150W_2026-08-10_16_15.csv</t>
        </is>
      </c>
      <c r="B482" s="2" t="inlineStr">
        <is>
          <t>150W_2700RPM_R1110</t>
        </is>
      </c>
      <c r="C482" s="2" t="n">
        <v>150</v>
      </c>
      <c r="D482" s="2" t="n">
        <v>2700</v>
      </c>
      <c r="E482" s="3">
        <f>D482*2/60</f>
        <v/>
      </c>
      <c r="F482" s="2" t="inlineStr">
        <is>
          <t>1110</t>
        </is>
      </c>
      <c r="G482" s="2" t="n">
        <v>7</v>
      </c>
      <c r="H482" s="2">
        <f>INDEX(Parametros!$B$2:$B$9,MATCH(G482,Parametros!$A$2:$A$9,0))</f>
        <v/>
      </c>
      <c r="I482" s="4">
        <f>1/(VALUE(MID(F482,1,1))/Parametros!$E$2+VALUE(MID(F482,2,1))/Parametros!$E$3+VALUE(MID(F482,3,1))/Parametros!$E$4+VALUE(MID(F482,4,1))/Parametros!$E$5)</f>
        <v/>
      </c>
      <c r="J482" s="5">
        <f>IF(G482=0,Parametros!$E$8,Parametros!$E$6+Parametros!$E$6*(Parametros!$E$7/G482+I482)/(Parametros!$E$6+Parametros!$E$7/G482+I482))</f>
        <v/>
      </c>
      <c r="K482" s="2" t="inlineStr">
        <is>
          <t>2026-08-10 16:15</t>
        </is>
      </c>
      <c r="L482" s="6" t="inlineStr">
        <is>
          <t>Válido</t>
        </is>
      </c>
      <c r="M482" s="2">
        <f>IF(L482="Válido","Sim","Não")</f>
        <v/>
      </c>
      <c r="N482" s="2" t="inlineStr"/>
    </row>
    <row r="483">
      <c r="A483" s="2" t="inlineStr">
        <is>
          <t>6Bracos_2700_R1110_150W_2026-08-10_16_15.csv</t>
        </is>
      </c>
      <c r="B483" s="2" t="inlineStr">
        <is>
          <t>150W_2700RPM_R1110</t>
        </is>
      </c>
      <c r="C483" s="2" t="n">
        <v>150</v>
      </c>
      <c r="D483" s="2" t="n">
        <v>2700</v>
      </c>
      <c r="E483" s="3">
        <f>D483*2/60</f>
        <v/>
      </c>
      <c r="F483" s="2" t="inlineStr">
        <is>
          <t>1110</t>
        </is>
      </c>
      <c r="G483" s="2" t="n">
        <v>6</v>
      </c>
      <c r="H483" s="2">
        <f>INDEX(Parametros!$B$2:$B$9,MATCH(G483,Parametros!$A$2:$A$9,0))</f>
        <v/>
      </c>
      <c r="I483" s="4">
        <f>1/(VALUE(MID(F483,1,1))/Parametros!$E$2+VALUE(MID(F483,2,1))/Parametros!$E$3+VALUE(MID(F483,3,1))/Parametros!$E$4+VALUE(MID(F483,4,1))/Parametros!$E$5)</f>
        <v/>
      </c>
      <c r="J483" s="5">
        <f>IF(G483=0,Parametros!$E$8,Parametros!$E$6+Parametros!$E$6*(Parametros!$E$7/G483+I483)/(Parametros!$E$6+Parametros!$E$7/G483+I483))</f>
        <v/>
      </c>
      <c r="K483" s="2" t="inlineStr">
        <is>
          <t>2026-08-10 16:15</t>
        </is>
      </c>
      <c r="L483" s="6" t="inlineStr">
        <is>
          <t>Válido</t>
        </is>
      </c>
      <c r="M483" s="2">
        <f>IF(L483="Válido","Sim","Não")</f>
        <v/>
      </c>
      <c r="N483" s="2" t="inlineStr"/>
    </row>
    <row r="484">
      <c r="A484" s="2" t="inlineStr">
        <is>
          <t>5Bracos_2700_R1110_150W_2026-08-10_16_15.csv</t>
        </is>
      </c>
      <c r="B484" s="2" t="inlineStr">
        <is>
          <t>150W_2700RPM_R1110</t>
        </is>
      </c>
      <c r="C484" s="2" t="n">
        <v>150</v>
      </c>
      <c r="D484" s="2" t="n">
        <v>2700</v>
      </c>
      <c r="E484" s="3">
        <f>D484*2/60</f>
        <v/>
      </c>
      <c r="F484" s="2" t="inlineStr">
        <is>
          <t>1110</t>
        </is>
      </c>
      <c r="G484" s="2" t="n">
        <v>5</v>
      </c>
      <c r="H484" s="2">
        <f>INDEX(Parametros!$B$2:$B$9,MATCH(G484,Parametros!$A$2:$A$9,0))</f>
        <v/>
      </c>
      <c r="I484" s="4">
        <f>1/(VALUE(MID(F484,1,1))/Parametros!$E$2+VALUE(MID(F484,2,1))/Parametros!$E$3+VALUE(MID(F484,3,1))/Parametros!$E$4+VALUE(MID(F484,4,1))/Parametros!$E$5)</f>
        <v/>
      </c>
      <c r="J484" s="5">
        <f>IF(G484=0,Parametros!$E$8,Parametros!$E$6+Parametros!$E$6*(Parametros!$E$7/G484+I484)/(Parametros!$E$6+Parametros!$E$7/G484+I484))</f>
        <v/>
      </c>
      <c r="K484" s="2" t="inlineStr">
        <is>
          <t>2026-08-10 16:15</t>
        </is>
      </c>
      <c r="L484" s="6" t="inlineStr">
        <is>
          <t>Válido</t>
        </is>
      </c>
      <c r="M484" s="2">
        <f>IF(L484="Válido","Sim","Não")</f>
        <v/>
      </c>
      <c r="N484" s="2" t="inlineStr"/>
    </row>
    <row r="485">
      <c r="A485" s="2" t="inlineStr">
        <is>
          <t>4Bracos_2700_R1110_150W_2026-08-10_16_15.csv</t>
        </is>
      </c>
      <c r="B485" s="2" t="inlineStr">
        <is>
          <t>150W_2700RPM_R1110</t>
        </is>
      </c>
      <c r="C485" s="2" t="n">
        <v>150</v>
      </c>
      <c r="D485" s="2" t="n">
        <v>2700</v>
      </c>
      <c r="E485" s="3">
        <f>D485*2/60</f>
        <v/>
      </c>
      <c r="F485" s="2" t="inlineStr">
        <is>
          <t>1110</t>
        </is>
      </c>
      <c r="G485" s="2" t="n">
        <v>4</v>
      </c>
      <c r="H485" s="2">
        <f>INDEX(Parametros!$B$2:$B$9,MATCH(G485,Parametros!$A$2:$A$9,0))</f>
        <v/>
      </c>
      <c r="I485" s="4">
        <f>1/(VALUE(MID(F485,1,1))/Parametros!$E$2+VALUE(MID(F485,2,1))/Parametros!$E$3+VALUE(MID(F485,3,1))/Parametros!$E$4+VALUE(MID(F485,4,1))/Parametros!$E$5)</f>
        <v/>
      </c>
      <c r="J485" s="5">
        <f>IF(G485=0,Parametros!$E$8,Parametros!$E$6+Parametros!$E$6*(Parametros!$E$7/G485+I485)/(Parametros!$E$6+Parametros!$E$7/G485+I485))</f>
        <v/>
      </c>
      <c r="K485" s="2" t="inlineStr">
        <is>
          <t>2026-08-10 16:15</t>
        </is>
      </c>
      <c r="L485" s="6" t="inlineStr">
        <is>
          <t>Válido</t>
        </is>
      </c>
      <c r="M485" s="2">
        <f>IF(L485="Válido","Sim","Não")</f>
        <v/>
      </c>
      <c r="N485" s="2" t="inlineStr"/>
    </row>
    <row r="486">
      <c r="A486" s="2" t="inlineStr">
        <is>
          <t>3Bracos_2700_R1110_150W_2026-08-10_16_15.csv</t>
        </is>
      </c>
      <c r="B486" s="2" t="inlineStr">
        <is>
          <t>150W_2700RPM_R1110</t>
        </is>
      </c>
      <c r="C486" s="2" t="n">
        <v>150</v>
      </c>
      <c r="D486" s="2" t="n">
        <v>2700</v>
      </c>
      <c r="E486" s="3">
        <f>D486*2/60</f>
        <v/>
      </c>
      <c r="F486" s="2" t="inlineStr">
        <is>
          <t>1110</t>
        </is>
      </c>
      <c r="G486" s="2" t="n">
        <v>3</v>
      </c>
      <c r="H486" s="2">
        <f>INDEX(Parametros!$B$2:$B$9,MATCH(G486,Parametros!$A$2:$A$9,0))</f>
        <v/>
      </c>
      <c r="I486" s="4">
        <f>1/(VALUE(MID(F486,1,1))/Parametros!$E$2+VALUE(MID(F486,2,1))/Parametros!$E$3+VALUE(MID(F486,3,1))/Parametros!$E$4+VALUE(MID(F486,4,1))/Parametros!$E$5)</f>
        <v/>
      </c>
      <c r="J486" s="5">
        <f>IF(G486=0,Parametros!$E$8,Parametros!$E$6+Parametros!$E$6*(Parametros!$E$7/G486+I486)/(Parametros!$E$6+Parametros!$E$7/G486+I486))</f>
        <v/>
      </c>
      <c r="K486" s="2" t="inlineStr">
        <is>
          <t>2026-08-10 16:15</t>
        </is>
      </c>
      <c r="L486" s="6" t="inlineStr">
        <is>
          <t>Válido</t>
        </is>
      </c>
      <c r="M486" s="2">
        <f>IF(L486="Válido","Sim","Não")</f>
        <v/>
      </c>
      <c r="N486" s="2" t="inlineStr"/>
    </row>
    <row r="487">
      <c r="A487" s="2" t="inlineStr">
        <is>
          <t>2Bracos_2700_R1110_150W_2026-08-10_16_15.csv</t>
        </is>
      </c>
      <c r="B487" s="2" t="inlineStr">
        <is>
          <t>150W_2700RPM_R1110</t>
        </is>
      </c>
      <c r="C487" s="2" t="n">
        <v>150</v>
      </c>
      <c r="D487" s="2" t="n">
        <v>2700</v>
      </c>
      <c r="E487" s="3">
        <f>D487*2/60</f>
        <v/>
      </c>
      <c r="F487" s="2" t="inlineStr">
        <is>
          <t>1110</t>
        </is>
      </c>
      <c r="G487" s="2" t="n">
        <v>2</v>
      </c>
      <c r="H487" s="2">
        <f>INDEX(Parametros!$B$2:$B$9,MATCH(G487,Parametros!$A$2:$A$9,0))</f>
        <v/>
      </c>
      <c r="I487" s="4">
        <f>1/(VALUE(MID(F487,1,1))/Parametros!$E$2+VALUE(MID(F487,2,1))/Parametros!$E$3+VALUE(MID(F487,3,1))/Parametros!$E$4+VALUE(MID(F487,4,1))/Parametros!$E$5)</f>
        <v/>
      </c>
      <c r="J487" s="5">
        <f>IF(G487=0,Parametros!$E$8,Parametros!$E$6+Parametros!$E$6*(Parametros!$E$7/G487+I487)/(Parametros!$E$6+Parametros!$E$7/G487+I487))</f>
        <v/>
      </c>
      <c r="K487" s="2" t="inlineStr">
        <is>
          <t>2026-08-10 16:15</t>
        </is>
      </c>
      <c r="L487" s="6" t="inlineStr">
        <is>
          <t>Válido</t>
        </is>
      </c>
      <c r="M487" s="2">
        <f>IF(L487="Válido","Sim","Não")</f>
        <v/>
      </c>
      <c r="N487" s="2" t="inlineStr"/>
    </row>
    <row r="488">
      <c r="A488" s="2" t="inlineStr">
        <is>
          <t>1Bracos_2700_R1110_150W_2026-08-10_16_15.csv</t>
        </is>
      </c>
      <c r="B488" s="2" t="inlineStr">
        <is>
          <t>150W_2700RPM_R1110</t>
        </is>
      </c>
      <c r="C488" s="2" t="n">
        <v>150</v>
      </c>
      <c r="D488" s="2" t="n">
        <v>2700</v>
      </c>
      <c r="E488" s="3">
        <f>D488*2/60</f>
        <v/>
      </c>
      <c r="F488" s="2" t="inlineStr">
        <is>
          <t>1110</t>
        </is>
      </c>
      <c r="G488" s="2" t="n">
        <v>1</v>
      </c>
      <c r="H488" s="2">
        <f>INDEX(Parametros!$B$2:$B$9,MATCH(G488,Parametros!$A$2:$A$9,0))</f>
        <v/>
      </c>
      <c r="I488" s="4">
        <f>1/(VALUE(MID(F488,1,1))/Parametros!$E$2+VALUE(MID(F488,2,1))/Parametros!$E$3+VALUE(MID(F488,3,1))/Parametros!$E$4+VALUE(MID(F488,4,1))/Parametros!$E$5)</f>
        <v/>
      </c>
      <c r="J488" s="5">
        <f>IF(G488=0,Parametros!$E$8,Parametros!$E$6+Parametros!$E$6*(Parametros!$E$7/G488+I488)/(Parametros!$E$6+Parametros!$E$7/G488+I488))</f>
        <v/>
      </c>
      <c r="K488" s="2" t="inlineStr">
        <is>
          <t>2026-08-10 16:15</t>
        </is>
      </c>
      <c r="L488" s="6" t="inlineStr">
        <is>
          <t>Válido</t>
        </is>
      </c>
      <c r="M488" s="2">
        <f>IF(L488="Válido","Sim","Não")</f>
        <v/>
      </c>
      <c r="N488" s="2" t="inlineStr"/>
    </row>
    <row r="489">
      <c r="A489" s="2" t="inlineStr">
        <is>
          <t>0Bracos_2700_R1110_150W_2026-08-10_16_15.csv</t>
        </is>
      </c>
      <c r="B489" s="2" t="inlineStr">
        <is>
          <t>150W_2700RPM_R1110</t>
        </is>
      </c>
      <c r="C489" s="2" t="n">
        <v>150</v>
      </c>
      <c r="D489" s="2" t="n">
        <v>2700</v>
      </c>
      <c r="E489" s="3">
        <f>D489*2/60</f>
        <v/>
      </c>
      <c r="F489" s="2" t="inlineStr">
        <is>
          <t>1110</t>
        </is>
      </c>
      <c r="G489" s="2" t="n">
        <v>0</v>
      </c>
      <c r="H489" s="2">
        <f>INDEX(Parametros!$B$2:$B$9,MATCH(G489,Parametros!$A$2:$A$9,0))</f>
        <v/>
      </c>
      <c r="I489" s="4">
        <f>1/(VALUE(MID(F489,1,1))/Parametros!$E$2+VALUE(MID(F489,2,1))/Parametros!$E$3+VALUE(MID(F489,3,1))/Parametros!$E$4+VALUE(MID(F489,4,1))/Parametros!$E$5)</f>
        <v/>
      </c>
      <c r="J489" s="5">
        <f>IF(G489=0,Parametros!$E$8,Parametros!$E$6+Parametros!$E$6*(Parametros!$E$7/G489+I489)/(Parametros!$E$6+Parametros!$E$7/G489+I489))</f>
        <v/>
      </c>
      <c r="K489" s="2" t="inlineStr">
        <is>
          <t>2026-08-10 16:15</t>
        </is>
      </c>
      <c r="L489" s="6" t="inlineStr">
        <is>
          <t>Válido</t>
        </is>
      </c>
      <c r="M489" s="2">
        <f>IF(L489="Válido","Sim","Não")</f>
        <v/>
      </c>
      <c r="N489" s="2" t="inlineStr"/>
    </row>
    <row r="490">
      <c r="A490" s="2" t="inlineStr">
        <is>
          <t>7Bracos_2700_R1111_150W_2026-08-10_16_15.csv</t>
        </is>
      </c>
      <c r="B490" s="2" t="inlineStr">
        <is>
          <t>150W_2700RPM_R1111</t>
        </is>
      </c>
      <c r="C490" s="2" t="n">
        <v>150</v>
      </c>
      <c r="D490" s="2" t="n">
        <v>2700</v>
      </c>
      <c r="E490" s="3">
        <f>D490*2/60</f>
        <v/>
      </c>
      <c r="F490" s="2" t="inlineStr">
        <is>
          <t>1111</t>
        </is>
      </c>
      <c r="G490" s="2" t="n">
        <v>7</v>
      </c>
      <c r="H490" s="2">
        <f>INDEX(Parametros!$B$2:$B$9,MATCH(G490,Parametros!$A$2:$A$9,0))</f>
        <v/>
      </c>
      <c r="I490" s="4">
        <f>1/(VALUE(MID(F490,1,1))/Parametros!$E$2+VALUE(MID(F490,2,1))/Parametros!$E$3+VALUE(MID(F490,3,1))/Parametros!$E$4+VALUE(MID(F490,4,1))/Parametros!$E$5)</f>
        <v/>
      </c>
      <c r="J490" s="5">
        <f>IF(G490=0,Parametros!$E$8,Parametros!$E$6+Parametros!$E$6*(Parametros!$E$7/G490+I490)/(Parametros!$E$6+Parametros!$E$7/G490+I490))</f>
        <v/>
      </c>
      <c r="K490" s="2" t="inlineStr">
        <is>
          <t>2026-08-10 16:15</t>
        </is>
      </c>
      <c r="L490" s="6" t="inlineStr">
        <is>
          <t>Válido</t>
        </is>
      </c>
      <c r="M490" s="2">
        <f>IF(L490="Válido","Sim","Não")</f>
        <v/>
      </c>
      <c r="N490" s="2" t="inlineStr"/>
    </row>
    <row r="491">
      <c r="A491" s="2" t="inlineStr">
        <is>
          <t>6Bracos_2700_R1111_150W_2026-08-10_16_15.csv</t>
        </is>
      </c>
      <c r="B491" s="2" t="inlineStr">
        <is>
          <t>150W_2700RPM_R1111</t>
        </is>
      </c>
      <c r="C491" s="2" t="n">
        <v>150</v>
      </c>
      <c r="D491" s="2" t="n">
        <v>2700</v>
      </c>
      <c r="E491" s="3">
        <f>D491*2/60</f>
        <v/>
      </c>
      <c r="F491" s="2" t="inlineStr">
        <is>
          <t>1111</t>
        </is>
      </c>
      <c r="G491" s="2" t="n">
        <v>6</v>
      </c>
      <c r="H491" s="2">
        <f>INDEX(Parametros!$B$2:$B$9,MATCH(G491,Parametros!$A$2:$A$9,0))</f>
        <v/>
      </c>
      <c r="I491" s="4">
        <f>1/(VALUE(MID(F491,1,1))/Parametros!$E$2+VALUE(MID(F491,2,1))/Parametros!$E$3+VALUE(MID(F491,3,1))/Parametros!$E$4+VALUE(MID(F491,4,1))/Parametros!$E$5)</f>
        <v/>
      </c>
      <c r="J491" s="5">
        <f>IF(G491=0,Parametros!$E$8,Parametros!$E$6+Parametros!$E$6*(Parametros!$E$7/G491+I491)/(Parametros!$E$6+Parametros!$E$7/G491+I491))</f>
        <v/>
      </c>
      <c r="K491" s="2" t="inlineStr">
        <is>
          <t>2026-08-10 16:15</t>
        </is>
      </c>
      <c r="L491" s="6" t="inlineStr">
        <is>
          <t>Válido</t>
        </is>
      </c>
      <c r="M491" s="2">
        <f>IF(L491="Válido","Sim","Não")</f>
        <v/>
      </c>
      <c r="N491" s="2" t="inlineStr"/>
    </row>
    <row r="492">
      <c r="A492" s="2" t="inlineStr">
        <is>
          <t>5Bracos_2700_R1111_150W_2026-08-10_16_15.csv</t>
        </is>
      </c>
      <c r="B492" s="2" t="inlineStr">
        <is>
          <t>150W_2700RPM_R1111</t>
        </is>
      </c>
      <c r="C492" s="2" t="n">
        <v>150</v>
      </c>
      <c r="D492" s="2" t="n">
        <v>2700</v>
      </c>
      <c r="E492" s="3">
        <f>D492*2/60</f>
        <v/>
      </c>
      <c r="F492" s="2" t="inlineStr">
        <is>
          <t>1111</t>
        </is>
      </c>
      <c r="G492" s="2" t="n">
        <v>5</v>
      </c>
      <c r="H492" s="2">
        <f>INDEX(Parametros!$B$2:$B$9,MATCH(G492,Parametros!$A$2:$A$9,0))</f>
        <v/>
      </c>
      <c r="I492" s="4">
        <f>1/(VALUE(MID(F492,1,1))/Parametros!$E$2+VALUE(MID(F492,2,1))/Parametros!$E$3+VALUE(MID(F492,3,1))/Parametros!$E$4+VALUE(MID(F492,4,1))/Parametros!$E$5)</f>
        <v/>
      </c>
      <c r="J492" s="5">
        <f>IF(G492=0,Parametros!$E$8,Parametros!$E$6+Parametros!$E$6*(Parametros!$E$7/G492+I492)/(Parametros!$E$6+Parametros!$E$7/G492+I492))</f>
        <v/>
      </c>
      <c r="K492" s="2" t="inlineStr">
        <is>
          <t>2026-08-10 16:15</t>
        </is>
      </c>
      <c r="L492" s="6" t="inlineStr">
        <is>
          <t>Válido</t>
        </is>
      </c>
      <c r="M492" s="2">
        <f>IF(L492="Válido","Sim","Não")</f>
        <v/>
      </c>
      <c r="N492" s="2" t="inlineStr"/>
    </row>
    <row r="493">
      <c r="A493" s="2" t="inlineStr">
        <is>
          <t>4Bracos_2700_R1111_150W_2026-08-10_16_15.csv</t>
        </is>
      </c>
      <c r="B493" s="2" t="inlineStr">
        <is>
          <t>150W_2700RPM_R1111</t>
        </is>
      </c>
      <c r="C493" s="2" t="n">
        <v>150</v>
      </c>
      <c r="D493" s="2" t="n">
        <v>2700</v>
      </c>
      <c r="E493" s="3">
        <f>D493*2/60</f>
        <v/>
      </c>
      <c r="F493" s="2" t="inlineStr">
        <is>
          <t>1111</t>
        </is>
      </c>
      <c r="G493" s="2" t="n">
        <v>4</v>
      </c>
      <c r="H493" s="2">
        <f>INDEX(Parametros!$B$2:$B$9,MATCH(G493,Parametros!$A$2:$A$9,0))</f>
        <v/>
      </c>
      <c r="I493" s="4">
        <f>1/(VALUE(MID(F493,1,1))/Parametros!$E$2+VALUE(MID(F493,2,1))/Parametros!$E$3+VALUE(MID(F493,3,1))/Parametros!$E$4+VALUE(MID(F493,4,1))/Parametros!$E$5)</f>
        <v/>
      </c>
      <c r="J493" s="5">
        <f>IF(G493=0,Parametros!$E$8,Parametros!$E$6+Parametros!$E$6*(Parametros!$E$7/G493+I493)/(Parametros!$E$6+Parametros!$E$7/G493+I493))</f>
        <v/>
      </c>
      <c r="K493" s="2" t="inlineStr">
        <is>
          <t>2026-08-10 16:15</t>
        </is>
      </c>
      <c r="L493" s="6" t="inlineStr">
        <is>
          <t>Válido</t>
        </is>
      </c>
      <c r="M493" s="2">
        <f>IF(L493="Válido","Sim","Não")</f>
        <v/>
      </c>
      <c r="N493" s="2" t="inlineStr"/>
    </row>
    <row r="494">
      <c r="A494" s="2" t="inlineStr">
        <is>
          <t>3Bracos_2700_R1111_150W_2026-08-10_16_15.csv</t>
        </is>
      </c>
      <c r="B494" s="2" t="inlineStr">
        <is>
          <t>150W_2700RPM_R1111</t>
        </is>
      </c>
      <c r="C494" s="2" t="n">
        <v>150</v>
      </c>
      <c r="D494" s="2" t="n">
        <v>2700</v>
      </c>
      <c r="E494" s="3">
        <f>D494*2/60</f>
        <v/>
      </c>
      <c r="F494" s="2" t="inlineStr">
        <is>
          <t>1111</t>
        </is>
      </c>
      <c r="G494" s="2" t="n">
        <v>3</v>
      </c>
      <c r="H494" s="2">
        <f>INDEX(Parametros!$B$2:$B$9,MATCH(G494,Parametros!$A$2:$A$9,0))</f>
        <v/>
      </c>
      <c r="I494" s="4">
        <f>1/(VALUE(MID(F494,1,1))/Parametros!$E$2+VALUE(MID(F494,2,1))/Parametros!$E$3+VALUE(MID(F494,3,1))/Parametros!$E$4+VALUE(MID(F494,4,1))/Parametros!$E$5)</f>
        <v/>
      </c>
      <c r="J494" s="5">
        <f>IF(G494=0,Parametros!$E$8,Parametros!$E$6+Parametros!$E$6*(Parametros!$E$7/G494+I494)/(Parametros!$E$6+Parametros!$E$7/G494+I494))</f>
        <v/>
      </c>
      <c r="K494" s="2" t="inlineStr">
        <is>
          <t>2026-08-10 16:15</t>
        </is>
      </c>
      <c r="L494" s="6" t="inlineStr">
        <is>
          <t>Válido</t>
        </is>
      </c>
      <c r="M494" s="2">
        <f>IF(L494="Válido","Sim","Não")</f>
        <v/>
      </c>
      <c r="N494" s="2" t="inlineStr"/>
    </row>
    <row r="495">
      <c r="A495" s="2" t="inlineStr">
        <is>
          <t>2Bracos_2700_R1111_150W_2026-08-10_16_15.csv</t>
        </is>
      </c>
      <c r="B495" s="2" t="inlineStr">
        <is>
          <t>150W_2700RPM_R1111</t>
        </is>
      </c>
      <c r="C495" s="2" t="n">
        <v>150</v>
      </c>
      <c r="D495" s="2" t="n">
        <v>2700</v>
      </c>
      <c r="E495" s="3">
        <f>D495*2/60</f>
        <v/>
      </c>
      <c r="F495" s="2" t="inlineStr">
        <is>
          <t>1111</t>
        </is>
      </c>
      <c r="G495" s="2" t="n">
        <v>2</v>
      </c>
      <c r="H495" s="2">
        <f>INDEX(Parametros!$B$2:$B$9,MATCH(G495,Parametros!$A$2:$A$9,0))</f>
        <v/>
      </c>
      <c r="I495" s="4">
        <f>1/(VALUE(MID(F495,1,1))/Parametros!$E$2+VALUE(MID(F495,2,1))/Parametros!$E$3+VALUE(MID(F495,3,1))/Parametros!$E$4+VALUE(MID(F495,4,1))/Parametros!$E$5)</f>
        <v/>
      </c>
      <c r="J495" s="5">
        <f>IF(G495=0,Parametros!$E$8,Parametros!$E$6+Parametros!$E$6*(Parametros!$E$7/G495+I495)/(Parametros!$E$6+Parametros!$E$7/G495+I495))</f>
        <v/>
      </c>
      <c r="K495" s="2" t="inlineStr">
        <is>
          <t>2026-08-10 16:15</t>
        </is>
      </c>
      <c r="L495" s="6" t="inlineStr">
        <is>
          <t>Válido</t>
        </is>
      </c>
      <c r="M495" s="2">
        <f>IF(L495="Válido","Sim","Não")</f>
        <v/>
      </c>
      <c r="N495" s="2" t="inlineStr"/>
    </row>
    <row r="496">
      <c r="A496" s="2" t="inlineStr">
        <is>
          <t>1Bracos_2700_R1111_150W_2026-08-10_16_15.csv</t>
        </is>
      </c>
      <c r="B496" s="2" t="inlineStr">
        <is>
          <t>150W_2700RPM_R1111</t>
        </is>
      </c>
      <c r="C496" s="2" t="n">
        <v>150</v>
      </c>
      <c r="D496" s="2" t="n">
        <v>2700</v>
      </c>
      <c r="E496" s="3">
        <f>D496*2/60</f>
        <v/>
      </c>
      <c r="F496" s="2" t="inlineStr">
        <is>
          <t>1111</t>
        </is>
      </c>
      <c r="G496" s="2" t="n">
        <v>1</v>
      </c>
      <c r="H496" s="2">
        <f>INDEX(Parametros!$B$2:$B$9,MATCH(G496,Parametros!$A$2:$A$9,0))</f>
        <v/>
      </c>
      <c r="I496" s="4">
        <f>1/(VALUE(MID(F496,1,1))/Parametros!$E$2+VALUE(MID(F496,2,1))/Parametros!$E$3+VALUE(MID(F496,3,1))/Parametros!$E$4+VALUE(MID(F496,4,1))/Parametros!$E$5)</f>
        <v/>
      </c>
      <c r="J496" s="5">
        <f>IF(G496=0,Parametros!$E$8,Parametros!$E$6+Parametros!$E$6*(Parametros!$E$7/G496+I496)/(Parametros!$E$6+Parametros!$E$7/G496+I496))</f>
        <v/>
      </c>
      <c r="K496" s="2" t="inlineStr">
        <is>
          <t>2026-08-10 16:15</t>
        </is>
      </c>
      <c r="L496" s="6" t="inlineStr">
        <is>
          <t>Válido</t>
        </is>
      </c>
      <c r="M496" s="2">
        <f>IF(L496="Válido","Sim","Não")</f>
        <v/>
      </c>
      <c r="N496" s="2" t="inlineStr"/>
    </row>
    <row r="497">
      <c r="A497" s="2" t="inlineStr">
        <is>
          <t>0Bracos_2700_R1111_150W_2026-08-10_16_15.csv</t>
        </is>
      </c>
      <c r="B497" s="2" t="inlineStr">
        <is>
          <t>150W_2700RPM_R1111</t>
        </is>
      </c>
      <c r="C497" s="2" t="n">
        <v>150</v>
      </c>
      <c r="D497" s="2" t="n">
        <v>2700</v>
      </c>
      <c r="E497" s="3">
        <f>D497*2/60</f>
        <v/>
      </c>
      <c r="F497" s="2" t="inlineStr">
        <is>
          <t>1111</t>
        </is>
      </c>
      <c r="G497" s="2" t="n">
        <v>0</v>
      </c>
      <c r="H497" s="2">
        <f>INDEX(Parametros!$B$2:$B$9,MATCH(G497,Parametros!$A$2:$A$9,0))</f>
        <v/>
      </c>
      <c r="I497" s="4">
        <f>1/(VALUE(MID(F497,1,1))/Parametros!$E$2+VALUE(MID(F497,2,1))/Parametros!$E$3+VALUE(MID(F497,3,1))/Parametros!$E$4+VALUE(MID(F497,4,1))/Parametros!$E$5)</f>
        <v/>
      </c>
      <c r="J497" s="5">
        <f>IF(G497=0,Parametros!$E$8,Parametros!$E$6+Parametros!$E$6*(Parametros!$E$7/G497+I497)/(Parametros!$E$6+Parametros!$E$7/G497+I497))</f>
        <v/>
      </c>
      <c r="K497" s="2" t="inlineStr">
        <is>
          <t>2026-08-10 16:15</t>
        </is>
      </c>
      <c r="L497" s="6" t="inlineStr">
        <is>
          <t>Válido</t>
        </is>
      </c>
      <c r="M497" s="2">
        <f>IF(L497="Válido","Sim","Não")</f>
        <v/>
      </c>
      <c r="N497" s="2" t="inlineStr"/>
    </row>
    <row r="498">
      <c r="A498" s="2" t="inlineStr">
        <is>
          <t>7Bracos_3000_R0001_150W_2026-10-09_12_20.csv</t>
        </is>
      </c>
      <c r="B498" s="2" t="inlineStr">
        <is>
          <t>150W_3000RPM_R0001</t>
        </is>
      </c>
      <c r="C498" s="2" t="n">
        <v>150</v>
      </c>
      <c r="D498" s="2" t="n">
        <v>3000</v>
      </c>
      <c r="E498" s="3">
        <f>D498*2/60</f>
        <v/>
      </c>
      <c r="F498" s="2" t="inlineStr">
        <is>
          <t>0001</t>
        </is>
      </c>
      <c r="G498" s="2" t="n">
        <v>7</v>
      </c>
      <c r="H498" s="2">
        <f>INDEX(Parametros!$B$2:$B$9,MATCH(G498,Parametros!$A$2:$A$9,0))</f>
        <v/>
      </c>
      <c r="I498" s="4">
        <f>1/(VALUE(MID(F498,1,1))/Parametros!$E$2+VALUE(MID(F498,2,1))/Parametros!$E$3+VALUE(MID(F498,3,1))/Parametros!$E$4+VALUE(MID(F498,4,1))/Parametros!$E$5)</f>
        <v/>
      </c>
      <c r="J498" s="5">
        <f>IF(G498=0,Parametros!$E$8,Parametros!$E$6+Parametros!$E$6*(Parametros!$E$7/G498+I498)/(Parametros!$E$6+Parametros!$E$7/G498+I498))</f>
        <v/>
      </c>
      <c r="K498" s="2" t="inlineStr">
        <is>
          <t>2026-10-09 12:20</t>
        </is>
      </c>
      <c r="L498" s="6" t="inlineStr">
        <is>
          <t>Válido</t>
        </is>
      </c>
      <c r="M498" s="2">
        <f>IF(L498="Válido","Sim","Não")</f>
        <v/>
      </c>
      <c r="N498" s="2" t="inlineStr"/>
    </row>
    <row r="499">
      <c r="A499" s="2" t="inlineStr">
        <is>
          <t>6Bracos_3000_R0001_150W_2026-10-09_12_20.csv</t>
        </is>
      </c>
      <c r="B499" s="2" t="inlineStr">
        <is>
          <t>150W_3000RPM_R0001</t>
        </is>
      </c>
      <c r="C499" s="2" t="n">
        <v>150</v>
      </c>
      <c r="D499" s="2" t="n">
        <v>3000</v>
      </c>
      <c r="E499" s="3">
        <f>D499*2/60</f>
        <v/>
      </c>
      <c r="F499" s="2" t="inlineStr">
        <is>
          <t>0001</t>
        </is>
      </c>
      <c r="G499" s="2" t="n">
        <v>6</v>
      </c>
      <c r="H499" s="2">
        <f>INDEX(Parametros!$B$2:$B$9,MATCH(G499,Parametros!$A$2:$A$9,0))</f>
        <v/>
      </c>
      <c r="I499" s="4">
        <f>1/(VALUE(MID(F499,1,1))/Parametros!$E$2+VALUE(MID(F499,2,1))/Parametros!$E$3+VALUE(MID(F499,3,1))/Parametros!$E$4+VALUE(MID(F499,4,1))/Parametros!$E$5)</f>
        <v/>
      </c>
      <c r="J499" s="5">
        <f>IF(G499=0,Parametros!$E$8,Parametros!$E$6+Parametros!$E$6*(Parametros!$E$7/G499+I499)/(Parametros!$E$6+Parametros!$E$7/G499+I499))</f>
        <v/>
      </c>
      <c r="K499" s="2" t="inlineStr">
        <is>
          <t>2026-10-09 12:20</t>
        </is>
      </c>
      <c r="L499" s="6" t="inlineStr">
        <is>
          <t>Válido</t>
        </is>
      </c>
      <c r="M499" s="2">
        <f>IF(L499="Válido","Sim","Não")</f>
        <v/>
      </c>
      <c r="N499" s="2" t="inlineStr"/>
    </row>
    <row r="500">
      <c r="A500" s="2" t="inlineStr">
        <is>
          <t>5Bracos_3000_R0001_150W_2026-10-09_12_20.csv</t>
        </is>
      </c>
      <c r="B500" s="2" t="inlineStr">
        <is>
          <t>150W_3000RPM_R0001</t>
        </is>
      </c>
      <c r="C500" s="2" t="n">
        <v>150</v>
      </c>
      <c r="D500" s="2" t="n">
        <v>3000</v>
      </c>
      <c r="E500" s="3">
        <f>D500*2/60</f>
        <v/>
      </c>
      <c r="F500" s="2" t="inlineStr">
        <is>
          <t>0001</t>
        </is>
      </c>
      <c r="G500" s="2" t="n">
        <v>5</v>
      </c>
      <c r="H500" s="2">
        <f>INDEX(Parametros!$B$2:$B$9,MATCH(G500,Parametros!$A$2:$A$9,0))</f>
        <v/>
      </c>
      <c r="I500" s="4">
        <f>1/(VALUE(MID(F500,1,1))/Parametros!$E$2+VALUE(MID(F500,2,1))/Parametros!$E$3+VALUE(MID(F500,3,1))/Parametros!$E$4+VALUE(MID(F500,4,1))/Parametros!$E$5)</f>
        <v/>
      </c>
      <c r="J500" s="5">
        <f>IF(G500=0,Parametros!$E$8,Parametros!$E$6+Parametros!$E$6*(Parametros!$E$7/G500+I500)/(Parametros!$E$6+Parametros!$E$7/G500+I500))</f>
        <v/>
      </c>
      <c r="K500" s="2" t="inlineStr">
        <is>
          <t>2026-10-09 12:20</t>
        </is>
      </c>
      <c r="L500" s="6" t="inlineStr">
        <is>
          <t>Válido</t>
        </is>
      </c>
      <c r="M500" s="2">
        <f>IF(L500="Válido","Sim","Não")</f>
        <v/>
      </c>
      <c r="N500" s="2" t="inlineStr"/>
    </row>
    <row r="501">
      <c r="A501" s="2" t="inlineStr">
        <is>
          <t>4Bracos_3000_R0001_150W_2026-10-09_12_20.csv</t>
        </is>
      </c>
      <c r="B501" s="2" t="inlineStr">
        <is>
          <t>150W_3000RPM_R0001</t>
        </is>
      </c>
      <c r="C501" s="2" t="n">
        <v>150</v>
      </c>
      <c r="D501" s="2" t="n">
        <v>3000</v>
      </c>
      <c r="E501" s="3">
        <f>D501*2/60</f>
        <v/>
      </c>
      <c r="F501" s="2" t="inlineStr">
        <is>
          <t>0001</t>
        </is>
      </c>
      <c r="G501" s="2" t="n">
        <v>4</v>
      </c>
      <c r="H501" s="2">
        <f>INDEX(Parametros!$B$2:$B$9,MATCH(G501,Parametros!$A$2:$A$9,0))</f>
        <v/>
      </c>
      <c r="I501" s="4">
        <f>1/(VALUE(MID(F501,1,1))/Parametros!$E$2+VALUE(MID(F501,2,1))/Parametros!$E$3+VALUE(MID(F501,3,1))/Parametros!$E$4+VALUE(MID(F501,4,1))/Parametros!$E$5)</f>
        <v/>
      </c>
      <c r="J501" s="5">
        <f>IF(G501=0,Parametros!$E$8,Parametros!$E$6+Parametros!$E$6*(Parametros!$E$7/G501+I501)/(Parametros!$E$6+Parametros!$E$7/G501+I501))</f>
        <v/>
      </c>
      <c r="K501" s="2" t="inlineStr">
        <is>
          <t>2026-10-09 12:20</t>
        </is>
      </c>
      <c r="L501" s="6" t="inlineStr">
        <is>
          <t>Válido</t>
        </is>
      </c>
      <c r="M501" s="2">
        <f>IF(L501="Válido","Sim","Não")</f>
        <v/>
      </c>
      <c r="N501" s="2" t="inlineStr"/>
    </row>
    <row r="502">
      <c r="A502" s="2" t="inlineStr">
        <is>
          <t>3Bracos_3000_R0001_150W_2026-10-09_12_20.csv</t>
        </is>
      </c>
      <c r="B502" s="2" t="inlineStr">
        <is>
          <t>150W_3000RPM_R0001</t>
        </is>
      </c>
      <c r="C502" s="2" t="n">
        <v>150</v>
      </c>
      <c r="D502" s="2" t="n">
        <v>3000</v>
      </c>
      <c r="E502" s="3">
        <f>D502*2/60</f>
        <v/>
      </c>
      <c r="F502" s="2" t="inlineStr">
        <is>
          <t>0001</t>
        </is>
      </c>
      <c r="G502" s="2" t="n">
        <v>3</v>
      </c>
      <c r="H502" s="2">
        <f>INDEX(Parametros!$B$2:$B$9,MATCH(G502,Parametros!$A$2:$A$9,0))</f>
        <v/>
      </c>
      <c r="I502" s="4">
        <f>1/(VALUE(MID(F502,1,1))/Parametros!$E$2+VALUE(MID(F502,2,1))/Parametros!$E$3+VALUE(MID(F502,3,1))/Parametros!$E$4+VALUE(MID(F502,4,1))/Parametros!$E$5)</f>
        <v/>
      </c>
      <c r="J502" s="5">
        <f>IF(G502=0,Parametros!$E$8,Parametros!$E$6+Parametros!$E$6*(Parametros!$E$7/G502+I502)/(Parametros!$E$6+Parametros!$E$7/G502+I502))</f>
        <v/>
      </c>
      <c r="K502" s="2" t="inlineStr">
        <is>
          <t>2026-10-09 12:20</t>
        </is>
      </c>
      <c r="L502" s="6" t="inlineStr">
        <is>
          <t>Válido</t>
        </is>
      </c>
      <c r="M502" s="2">
        <f>IF(L502="Válido","Sim","Não")</f>
        <v/>
      </c>
      <c r="N502" s="2" t="inlineStr"/>
    </row>
    <row r="503">
      <c r="A503" s="2" t="inlineStr">
        <is>
          <t>2Bracos_3000_R0001_150W_2026-10-09_12_20.csv</t>
        </is>
      </c>
      <c r="B503" s="2" t="inlineStr">
        <is>
          <t>150W_3000RPM_R0001</t>
        </is>
      </c>
      <c r="C503" s="2" t="n">
        <v>150</v>
      </c>
      <c r="D503" s="2" t="n">
        <v>3000</v>
      </c>
      <c r="E503" s="3">
        <f>D503*2/60</f>
        <v/>
      </c>
      <c r="F503" s="2" t="inlineStr">
        <is>
          <t>0001</t>
        </is>
      </c>
      <c r="G503" s="2" t="n">
        <v>2</v>
      </c>
      <c r="H503" s="2">
        <f>INDEX(Parametros!$B$2:$B$9,MATCH(G503,Parametros!$A$2:$A$9,0))</f>
        <v/>
      </c>
      <c r="I503" s="4">
        <f>1/(VALUE(MID(F503,1,1))/Parametros!$E$2+VALUE(MID(F503,2,1))/Parametros!$E$3+VALUE(MID(F503,3,1))/Parametros!$E$4+VALUE(MID(F503,4,1))/Parametros!$E$5)</f>
        <v/>
      </c>
      <c r="J503" s="5">
        <f>IF(G503=0,Parametros!$E$8,Parametros!$E$6+Parametros!$E$6*(Parametros!$E$7/G503+I503)/(Parametros!$E$6+Parametros!$E$7/G503+I503))</f>
        <v/>
      </c>
      <c r="K503" s="2" t="inlineStr">
        <is>
          <t>2026-10-09 12:20</t>
        </is>
      </c>
      <c r="L503" s="6" t="inlineStr">
        <is>
          <t>Válido</t>
        </is>
      </c>
      <c r="M503" s="2">
        <f>IF(L503="Válido","Sim","Não")</f>
        <v/>
      </c>
      <c r="N503" s="2" t="inlineStr"/>
    </row>
    <row r="504">
      <c r="A504" s="2" t="inlineStr">
        <is>
          <t>1Bracos_3000_R0001_150W_2026-10-09_12_20.csv</t>
        </is>
      </c>
      <c r="B504" s="2" t="inlineStr">
        <is>
          <t>150W_3000RPM_R0001</t>
        </is>
      </c>
      <c r="C504" s="2" t="n">
        <v>150</v>
      </c>
      <c r="D504" s="2" t="n">
        <v>3000</v>
      </c>
      <c r="E504" s="3">
        <f>D504*2/60</f>
        <v/>
      </c>
      <c r="F504" s="2" t="inlineStr">
        <is>
          <t>0001</t>
        </is>
      </c>
      <c r="G504" s="2" t="n">
        <v>1</v>
      </c>
      <c r="H504" s="2">
        <f>INDEX(Parametros!$B$2:$B$9,MATCH(G504,Parametros!$A$2:$A$9,0))</f>
        <v/>
      </c>
      <c r="I504" s="4">
        <f>1/(VALUE(MID(F504,1,1))/Parametros!$E$2+VALUE(MID(F504,2,1))/Parametros!$E$3+VALUE(MID(F504,3,1))/Parametros!$E$4+VALUE(MID(F504,4,1))/Parametros!$E$5)</f>
        <v/>
      </c>
      <c r="J504" s="5">
        <f>IF(G504=0,Parametros!$E$8,Parametros!$E$6+Parametros!$E$6*(Parametros!$E$7/G504+I504)/(Parametros!$E$6+Parametros!$E$7/G504+I504))</f>
        <v/>
      </c>
      <c r="K504" s="2" t="inlineStr">
        <is>
          <t>2026-10-09 12:20</t>
        </is>
      </c>
      <c r="L504" s="6" t="inlineStr">
        <is>
          <t>Válido</t>
        </is>
      </c>
      <c r="M504" s="2">
        <f>IF(L504="Válido","Sim","Não")</f>
        <v/>
      </c>
      <c r="N504" s="2" t="inlineStr"/>
    </row>
    <row r="505">
      <c r="A505" s="2" t="inlineStr">
        <is>
          <t>0Bracos_3000_R0001_150W_2026-10-09_12_20.csv</t>
        </is>
      </c>
      <c r="B505" s="2" t="inlineStr">
        <is>
          <t>150W_3000RPM_R0001</t>
        </is>
      </c>
      <c r="C505" s="2" t="n">
        <v>150</v>
      </c>
      <c r="D505" s="2" t="n">
        <v>3000</v>
      </c>
      <c r="E505" s="3">
        <f>D505*2/60</f>
        <v/>
      </c>
      <c r="F505" s="2" t="inlineStr">
        <is>
          <t>0001</t>
        </is>
      </c>
      <c r="G505" s="2" t="n">
        <v>0</v>
      </c>
      <c r="H505" s="2">
        <f>INDEX(Parametros!$B$2:$B$9,MATCH(G505,Parametros!$A$2:$A$9,0))</f>
        <v/>
      </c>
      <c r="I505" s="4">
        <f>1/(VALUE(MID(F505,1,1))/Parametros!$E$2+VALUE(MID(F505,2,1))/Parametros!$E$3+VALUE(MID(F505,3,1))/Parametros!$E$4+VALUE(MID(F505,4,1))/Parametros!$E$5)</f>
        <v/>
      </c>
      <c r="J505" s="5">
        <f>IF(G505=0,Parametros!$E$8,Parametros!$E$6+Parametros!$E$6*(Parametros!$E$7/G505+I505)/(Parametros!$E$6+Parametros!$E$7/G505+I505))</f>
        <v/>
      </c>
      <c r="K505" s="2" t="inlineStr">
        <is>
          <t>2026-10-09 12:20</t>
        </is>
      </c>
      <c r="L505" s="6" t="inlineStr">
        <is>
          <t>Válido</t>
        </is>
      </c>
      <c r="M505" s="2">
        <f>IF(L505="Válido","Sim","Não")</f>
        <v/>
      </c>
      <c r="N505" s="2" t="inlineStr"/>
    </row>
    <row r="506">
      <c r="A506" s="2" t="inlineStr">
        <is>
          <t>7Bracos_3000_R0001_150W_2026-09-30_14_30.csv</t>
        </is>
      </c>
      <c r="B506" s="2" t="inlineStr">
        <is>
          <t>150W_3000RPM_R0001</t>
        </is>
      </c>
      <c r="C506" s="2" t="n">
        <v>150</v>
      </c>
      <c r="D506" s="2" t="n">
        <v>3000</v>
      </c>
      <c r="E506" s="3">
        <f>D506*2/60</f>
        <v/>
      </c>
      <c r="F506" s="2" t="inlineStr">
        <is>
          <t>0001</t>
        </is>
      </c>
      <c r="G506" s="2" t="n">
        <v>7</v>
      </c>
      <c r="H506" s="2">
        <f>INDEX(Parametros!$B$2:$B$9,MATCH(G506,Parametros!$A$2:$A$9,0))</f>
        <v/>
      </c>
      <c r="I506" s="4">
        <f>1/(VALUE(MID(F506,1,1))/Parametros!$E$2+VALUE(MID(F506,2,1))/Parametros!$E$3+VALUE(MID(F506,3,1))/Parametros!$E$4+VALUE(MID(F506,4,1))/Parametros!$E$5)</f>
        <v/>
      </c>
      <c r="J506" s="5">
        <f>IF(G506=0,Parametros!$E$8,Parametros!$E$6+Parametros!$E$6*(Parametros!$E$7/G506+I506)/(Parametros!$E$6+Parametros!$E$7/G506+I506))</f>
        <v/>
      </c>
      <c r="K506" s="2" t="inlineStr">
        <is>
          <t>2026-09-30 14:30</t>
        </is>
      </c>
      <c r="L506" s="8" t="inlineStr">
        <is>
          <t>Substituído (refeito)</t>
        </is>
      </c>
      <c r="M506" s="2">
        <f>IF(L506="Válido","Sim","Não")</f>
        <v/>
      </c>
      <c r="N506" s="2" t="inlineStr">
        <is>
          <t>Existe ensaio mais novo para a mesma condição</t>
        </is>
      </c>
    </row>
    <row r="507">
      <c r="A507" s="2" t="inlineStr">
        <is>
          <t>6Bracos_3000_R0001_150W_2026-09-30_14_30.csv</t>
        </is>
      </c>
      <c r="B507" s="2" t="inlineStr">
        <is>
          <t>150W_3000RPM_R0001</t>
        </is>
      </c>
      <c r="C507" s="2" t="n">
        <v>150</v>
      </c>
      <c r="D507" s="2" t="n">
        <v>3000</v>
      </c>
      <c r="E507" s="3">
        <f>D507*2/60</f>
        <v/>
      </c>
      <c r="F507" s="2" t="inlineStr">
        <is>
          <t>0001</t>
        </is>
      </c>
      <c r="G507" s="2" t="n">
        <v>6</v>
      </c>
      <c r="H507" s="2">
        <f>INDEX(Parametros!$B$2:$B$9,MATCH(G507,Parametros!$A$2:$A$9,0))</f>
        <v/>
      </c>
      <c r="I507" s="4">
        <f>1/(VALUE(MID(F507,1,1))/Parametros!$E$2+VALUE(MID(F507,2,1))/Parametros!$E$3+VALUE(MID(F507,3,1))/Parametros!$E$4+VALUE(MID(F507,4,1))/Parametros!$E$5)</f>
        <v/>
      </c>
      <c r="J507" s="5">
        <f>IF(G507=0,Parametros!$E$8,Parametros!$E$6+Parametros!$E$6*(Parametros!$E$7/G507+I507)/(Parametros!$E$6+Parametros!$E$7/G507+I507))</f>
        <v/>
      </c>
      <c r="K507" s="2" t="inlineStr">
        <is>
          <t>2026-09-30 14:30</t>
        </is>
      </c>
      <c r="L507" s="8" t="inlineStr">
        <is>
          <t>Substituído (refeito)</t>
        </is>
      </c>
      <c r="M507" s="2">
        <f>IF(L507="Válido","Sim","Não")</f>
        <v/>
      </c>
      <c r="N507" s="2" t="inlineStr">
        <is>
          <t>Existe ensaio mais novo para a mesma condição</t>
        </is>
      </c>
    </row>
    <row r="508">
      <c r="A508" s="2" t="inlineStr">
        <is>
          <t>5Bracos_3000_R0001_150W_2026-09-30_14_30.csv</t>
        </is>
      </c>
      <c r="B508" s="2" t="inlineStr">
        <is>
          <t>150W_3000RPM_R0001</t>
        </is>
      </c>
      <c r="C508" s="2" t="n">
        <v>150</v>
      </c>
      <c r="D508" s="2" t="n">
        <v>3000</v>
      </c>
      <c r="E508" s="3">
        <f>D508*2/60</f>
        <v/>
      </c>
      <c r="F508" s="2" t="inlineStr">
        <is>
          <t>0001</t>
        </is>
      </c>
      <c r="G508" s="2" t="n">
        <v>5</v>
      </c>
      <c r="H508" s="2">
        <f>INDEX(Parametros!$B$2:$B$9,MATCH(G508,Parametros!$A$2:$A$9,0))</f>
        <v/>
      </c>
      <c r="I508" s="4">
        <f>1/(VALUE(MID(F508,1,1))/Parametros!$E$2+VALUE(MID(F508,2,1))/Parametros!$E$3+VALUE(MID(F508,3,1))/Parametros!$E$4+VALUE(MID(F508,4,1))/Parametros!$E$5)</f>
        <v/>
      </c>
      <c r="J508" s="5">
        <f>IF(G508=0,Parametros!$E$8,Parametros!$E$6+Parametros!$E$6*(Parametros!$E$7/G508+I508)/(Parametros!$E$6+Parametros!$E$7/G508+I508))</f>
        <v/>
      </c>
      <c r="K508" s="2" t="inlineStr">
        <is>
          <t>2026-09-30 14:30</t>
        </is>
      </c>
      <c r="L508" s="8" t="inlineStr">
        <is>
          <t>Substituído (refeito)</t>
        </is>
      </c>
      <c r="M508" s="2">
        <f>IF(L508="Válido","Sim","Não")</f>
        <v/>
      </c>
      <c r="N508" s="2" t="inlineStr">
        <is>
          <t>Existe ensaio mais novo para a mesma condição</t>
        </is>
      </c>
    </row>
    <row r="509">
      <c r="A509" s="2" t="inlineStr">
        <is>
          <t>4Bracos_3000_R0001_150W_2026-09-30_14_30.csv</t>
        </is>
      </c>
      <c r="B509" s="2" t="inlineStr">
        <is>
          <t>150W_3000RPM_R0001</t>
        </is>
      </c>
      <c r="C509" s="2" t="n">
        <v>150</v>
      </c>
      <c r="D509" s="2" t="n">
        <v>3000</v>
      </c>
      <c r="E509" s="3">
        <f>D509*2/60</f>
        <v/>
      </c>
      <c r="F509" s="2" t="inlineStr">
        <is>
          <t>0001</t>
        </is>
      </c>
      <c r="G509" s="2" t="n">
        <v>4</v>
      </c>
      <c r="H509" s="2">
        <f>INDEX(Parametros!$B$2:$B$9,MATCH(G509,Parametros!$A$2:$A$9,0))</f>
        <v/>
      </c>
      <c r="I509" s="4">
        <f>1/(VALUE(MID(F509,1,1))/Parametros!$E$2+VALUE(MID(F509,2,1))/Parametros!$E$3+VALUE(MID(F509,3,1))/Parametros!$E$4+VALUE(MID(F509,4,1))/Parametros!$E$5)</f>
        <v/>
      </c>
      <c r="J509" s="5">
        <f>IF(G509=0,Parametros!$E$8,Parametros!$E$6+Parametros!$E$6*(Parametros!$E$7/G509+I509)/(Parametros!$E$6+Parametros!$E$7/G509+I509))</f>
        <v/>
      </c>
      <c r="K509" s="2" t="inlineStr">
        <is>
          <t>2026-09-30 14:30</t>
        </is>
      </c>
      <c r="L509" s="8" t="inlineStr">
        <is>
          <t>Substituído (refeito)</t>
        </is>
      </c>
      <c r="M509" s="2">
        <f>IF(L509="Válido","Sim","Não")</f>
        <v/>
      </c>
      <c r="N509" s="2" t="inlineStr">
        <is>
          <t>Existe ensaio mais novo para a mesma condição</t>
        </is>
      </c>
    </row>
    <row r="510">
      <c r="A510" s="2" t="inlineStr">
        <is>
          <t>3Bracos_3000_R0001_150W_2026-09-30_14_30.csv</t>
        </is>
      </c>
      <c r="B510" s="2" t="inlineStr">
        <is>
          <t>150W_3000RPM_R0001</t>
        </is>
      </c>
      <c r="C510" s="2" t="n">
        <v>150</v>
      </c>
      <c r="D510" s="2" t="n">
        <v>3000</v>
      </c>
      <c r="E510" s="3">
        <f>D510*2/60</f>
        <v/>
      </c>
      <c r="F510" s="2" t="inlineStr">
        <is>
          <t>0001</t>
        </is>
      </c>
      <c r="G510" s="2" t="n">
        <v>3</v>
      </c>
      <c r="H510" s="2">
        <f>INDEX(Parametros!$B$2:$B$9,MATCH(G510,Parametros!$A$2:$A$9,0))</f>
        <v/>
      </c>
      <c r="I510" s="4">
        <f>1/(VALUE(MID(F510,1,1))/Parametros!$E$2+VALUE(MID(F510,2,1))/Parametros!$E$3+VALUE(MID(F510,3,1))/Parametros!$E$4+VALUE(MID(F510,4,1))/Parametros!$E$5)</f>
        <v/>
      </c>
      <c r="J510" s="5">
        <f>IF(G510=0,Parametros!$E$8,Parametros!$E$6+Parametros!$E$6*(Parametros!$E$7/G510+I510)/(Parametros!$E$6+Parametros!$E$7/G510+I510))</f>
        <v/>
      </c>
      <c r="K510" s="2" t="inlineStr">
        <is>
          <t>2026-09-30 14:30</t>
        </is>
      </c>
      <c r="L510" s="8" t="inlineStr">
        <is>
          <t>Substituído (refeito)</t>
        </is>
      </c>
      <c r="M510" s="2">
        <f>IF(L510="Válido","Sim","Não")</f>
        <v/>
      </c>
      <c r="N510" s="2" t="inlineStr">
        <is>
          <t>Existe ensaio mais novo para a mesma condição</t>
        </is>
      </c>
    </row>
    <row r="511">
      <c r="A511" s="2" t="inlineStr">
        <is>
          <t>2Bracos_3000_R0001_150W_2026-09-30_14_30.csv</t>
        </is>
      </c>
      <c r="B511" s="2" t="inlineStr">
        <is>
          <t>150W_3000RPM_R0001</t>
        </is>
      </c>
      <c r="C511" s="2" t="n">
        <v>150</v>
      </c>
      <c r="D511" s="2" t="n">
        <v>3000</v>
      </c>
      <c r="E511" s="3">
        <f>D511*2/60</f>
        <v/>
      </c>
      <c r="F511" s="2" t="inlineStr">
        <is>
          <t>0001</t>
        </is>
      </c>
      <c r="G511" s="2" t="n">
        <v>2</v>
      </c>
      <c r="H511" s="2">
        <f>INDEX(Parametros!$B$2:$B$9,MATCH(G511,Parametros!$A$2:$A$9,0))</f>
        <v/>
      </c>
      <c r="I511" s="4">
        <f>1/(VALUE(MID(F511,1,1))/Parametros!$E$2+VALUE(MID(F511,2,1))/Parametros!$E$3+VALUE(MID(F511,3,1))/Parametros!$E$4+VALUE(MID(F511,4,1))/Parametros!$E$5)</f>
        <v/>
      </c>
      <c r="J511" s="5">
        <f>IF(G511=0,Parametros!$E$8,Parametros!$E$6+Parametros!$E$6*(Parametros!$E$7/G511+I511)/(Parametros!$E$6+Parametros!$E$7/G511+I511))</f>
        <v/>
      </c>
      <c r="K511" s="2" t="inlineStr">
        <is>
          <t>2026-09-30 14:30</t>
        </is>
      </c>
      <c r="L511" s="8" t="inlineStr">
        <is>
          <t>Substituído (refeito)</t>
        </is>
      </c>
      <c r="M511" s="2">
        <f>IF(L511="Válido","Sim","Não")</f>
        <v/>
      </c>
      <c r="N511" s="2" t="inlineStr">
        <is>
          <t>Existe ensaio mais novo para a mesma condição</t>
        </is>
      </c>
    </row>
    <row r="512">
      <c r="A512" s="2" t="inlineStr">
        <is>
          <t>1Bracos_3000_R0001_150W_2026-09-30_14_30.csv</t>
        </is>
      </c>
      <c r="B512" s="2" t="inlineStr">
        <is>
          <t>150W_3000RPM_R0001</t>
        </is>
      </c>
      <c r="C512" s="2" t="n">
        <v>150</v>
      </c>
      <c r="D512" s="2" t="n">
        <v>3000</v>
      </c>
      <c r="E512" s="3">
        <f>D512*2/60</f>
        <v/>
      </c>
      <c r="F512" s="2" t="inlineStr">
        <is>
          <t>0001</t>
        </is>
      </c>
      <c r="G512" s="2" t="n">
        <v>1</v>
      </c>
      <c r="H512" s="2">
        <f>INDEX(Parametros!$B$2:$B$9,MATCH(G512,Parametros!$A$2:$A$9,0))</f>
        <v/>
      </c>
      <c r="I512" s="4">
        <f>1/(VALUE(MID(F512,1,1))/Parametros!$E$2+VALUE(MID(F512,2,1))/Parametros!$E$3+VALUE(MID(F512,3,1))/Parametros!$E$4+VALUE(MID(F512,4,1))/Parametros!$E$5)</f>
        <v/>
      </c>
      <c r="J512" s="5">
        <f>IF(G512=0,Parametros!$E$8,Parametros!$E$6+Parametros!$E$6*(Parametros!$E$7/G512+I512)/(Parametros!$E$6+Parametros!$E$7/G512+I512))</f>
        <v/>
      </c>
      <c r="K512" s="2" t="inlineStr">
        <is>
          <t>2026-09-30 14:30</t>
        </is>
      </c>
      <c r="L512" s="8" t="inlineStr">
        <is>
          <t>Substituído (refeito)</t>
        </is>
      </c>
      <c r="M512" s="2">
        <f>IF(L512="Válido","Sim","Não")</f>
        <v/>
      </c>
      <c r="N512" s="2" t="inlineStr">
        <is>
          <t>Existe ensaio mais novo para a mesma condição</t>
        </is>
      </c>
    </row>
    <row r="513">
      <c r="A513" s="2" t="inlineStr">
        <is>
          <t>0Bracos_3000_R0001_150W_2026-09-30_14_30.csv</t>
        </is>
      </c>
      <c r="B513" s="2" t="inlineStr">
        <is>
          <t>150W_3000RPM_R0001</t>
        </is>
      </c>
      <c r="C513" s="2" t="n">
        <v>150</v>
      </c>
      <c r="D513" s="2" t="n">
        <v>3000</v>
      </c>
      <c r="E513" s="3">
        <f>D513*2/60</f>
        <v/>
      </c>
      <c r="F513" s="2" t="inlineStr">
        <is>
          <t>0001</t>
        </is>
      </c>
      <c r="G513" s="2" t="n">
        <v>0</v>
      </c>
      <c r="H513" s="2">
        <f>INDEX(Parametros!$B$2:$B$9,MATCH(G513,Parametros!$A$2:$A$9,0))</f>
        <v/>
      </c>
      <c r="I513" s="4">
        <f>1/(VALUE(MID(F513,1,1))/Parametros!$E$2+VALUE(MID(F513,2,1))/Parametros!$E$3+VALUE(MID(F513,3,1))/Parametros!$E$4+VALUE(MID(F513,4,1))/Parametros!$E$5)</f>
        <v/>
      </c>
      <c r="J513" s="5">
        <f>IF(G513=0,Parametros!$E$8,Parametros!$E$6+Parametros!$E$6*(Parametros!$E$7/G513+I513)/(Parametros!$E$6+Parametros!$E$7/G513+I513))</f>
        <v/>
      </c>
      <c r="K513" s="2" t="inlineStr">
        <is>
          <t>2026-09-30 14:30</t>
        </is>
      </c>
      <c r="L513" s="8" t="inlineStr">
        <is>
          <t>Substituído (refeito)</t>
        </is>
      </c>
      <c r="M513" s="2">
        <f>IF(L513="Válido","Sim","Não")</f>
        <v/>
      </c>
      <c r="N513" s="2" t="inlineStr">
        <is>
          <t>Existe ensaio mais novo para a mesma condição</t>
        </is>
      </c>
    </row>
    <row r="514">
      <c r="A514" s="2" t="inlineStr">
        <is>
          <t>7Bracos_3000_R0010_150W_2026-09-30_14_30.csv</t>
        </is>
      </c>
      <c r="B514" s="2" t="inlineStr">
        <is>
          <t>150W_3000RPM_R0010</t>
        </is>
      </c>
      <c r="C514" s="2" t="n">
        <v>150</v>
      </c>
      <c r="D514" s="2" t="n">
        <v>3000</v>
      </c>
      <c r="E514" s="3">
        <f>D514*2/60</f>
        <v/>
      </c>
      <c r="F514" s="2" t="inlineStr">
        <is>
          <t>0010</t>
        </is>
      </c>
      <c r="G514" s="2" t="n">
        <v>7</v>
      </c>
      <c r="H514" s="2">
        <f>INDEX(Parametros!$B$2:$B$9,MATCH(G514,Parametros!$A$2:$A$9,0))</f>
        <v/>
      </c>
      <c r="I514" s="4">
        <f>1/(VALUE(MID(F514,1,1))/Parametros!$E$2+VALUE(MID(F514,2,1))/Parametros!$E$3+VALUE(MID(F514,3,1))/Parametros!$E$4+VALUE(MID(F514,4,1))/Parametros!$E$5)</f>
        <v/>
      </c>
      <c r="J514" s="5">
        <f>IF(G514=0,Parametros!$E$8,Parametros!$E$6+Parametros!$E$6*(Parametros!$E$7/G514+I514)/(Parametros!$E$6+Parametros!$E$7/G514+I514))</f>
        <v/>
      </c>
      <c r="K514" s="2" t="inlineStr">
        <is>
          <t>2026-09-30 14:30</t>
        </is>
      </c>
      <c r="L514" s="6" t="inlineStr">
        <is>
          <t>Válido</t>
        </is>
      </c>
      <c r="M514" s="2">
        <f>IF(L514="Válido","Sim","Não")</f>
        <v/>
      </c>
      <c r="N514" s="2" t="inlineStr"/>
    </row>
    <row r="515">
      <c r="A515" s="2" t="inlineStr">
        <is>
          <t>6Bracos_3000_R0010_150W_2026-09-30_14_30.csv</t>
        </is>
      </c>
      <c r="B515" s="2" t="inlineStr">
        <is>
          <t>150W_3000RPM_R0010</t>
        </is>
      </c>
      <c r="C515" s="2" t="n">
        <v>150</v>
      </c>
      <c r="D515" s="2" t="n">
        <v>3000</v>
      </c>
      <c r="E515" s="3">
        <f>D515*2/60</f>
        <v/>
      </c>
      <c r="F515" s="2" t="inlineStr">
        <is>
          <t>0010</t>
        </is>
      </c>
      <c r="G515" s="2" t="n">
        <v>6</v>
      </c>
      <c r="H515" s="2">
        <f>INDEX(Parametros!$B$2:$B$9,MATCH(G515,Parametros!$A$2:$A$9,0))</f>
        <v/>
      </c>
      <c r="I515" s="4">
        <f>1/(VALUE(MID(F515,1,1))/Parametros!$E$2+VALUE(MID(F515,2,1))/Parametros!$E$3+VALUE(MID(F515,3,1))/Parametros!$E$4+VALUE(MID(F515,4,1))/Parametros!$E$5)</f>
        <v/>
      </c>
      <c r="J515" s="5">
        <f>IF(G515=0,Parametros!$E$8,Parametros!$E$6+Parametros!$E$6*(Parametros!$E$7/G515+I515)/(Parametros!$E$6+Parametros!$E$7/G515+I515))</f>
        <v/>
      </c>
      <c r="K515" s="2" t="inlineStr">
        <is>
          <t>2026-09-30 14:30</t>
        </is>
      </c>
      <c r="L515" s="6" t="inlineStr">
        <is>
          <t>Válido</t>
        </is>
      </c>
      <c r="M515" s="2">
        <f>IF(L515="Válido","Sim","Não")</f>
        <v/>
      </c>
      <c r="N515" s="2" t="inlineStr"/>
    </row>
    <row r="516">
      <c r="A516" s="2" t="inlineStr">
        <is>
          <t>5Bracos_3000_R0010_150W_2026-09-30_14_30.csv</t>
        </is>
      </c>
      <c r="B516" s="2" t="inlineStr">
        <is>
          <t>150W_3000RPM_R0010</t>
        </is>
      </c>
      <c r="C516" s="2" t="n">
        <v>150</v>
      </c>
      <c r="D516" s="2" t="n">
        <v>3000</v>
      </c>
      <c r="E516" s="3">
        <f>D516*2/60</f>
        <v/>
      </c>
      <c r="F516" s="2" t="inlineStr">
        <is>
          <t>0010</t>
        </is>
      </c>
      <c r="G516" s="2" t="n">
        <v>5</v>
      </c>
      <c r="H516" s="2">
        <f>INDEX(Parametros!$B$2:$B$9,MATCH(G516,Parametros!$A$2:$A$9,0))</f>
        <v/>
      </c>
      <c r="I516" s="4">
        <f>1/(VALUE(MID(F516,1,1))/Parametros!$E$2+VALUE(MID(F516,2,1))/Parametros!$E$3+VALUE(MID(F516,3,1))/Parametros!$E$4+VALUE(MID(F516,4,1))/Parametros!$E$5)</f>
        <v/>
      </c>
      <c r="J516" s="5">
        <f>IF(G516=0,Parametros!$E$8,Parametros!$E$6+Parametros!$E$6*(Parametros!$E$7/G516+I516)/(Parametros!$E$6+Parametros!$E$7/G516+I516))</f>
        <v/>
      </c>
      <c r="K516" s="2" t="inlineStr">
        <is>
          <t>2026-09-30 14:30</t>
        </is>
      </c>
      <c r="L516" s="6" t="inlineStr">
        <is>
          <t>Válido</t>
        </is>
      </c>
      <c r="M516" s="2">
        <f>IF(L516="Válido","Sim","Não")</f>
        <v/>
      </c>
      <c r="N516" s="2" t="inlineStr"/>
    </row>
    <row r="517">
      <c r="A517" s="2" t="inlineStr">
        <is>
          <t>4Bracos_3000_R0010_150W_2026-09-30_14_30.csv</t>
        </is>
      </c>
      <c r="B517" s="2" t="inlineStr">
        <is>
          <t>150W_3000RPM_R0010</t>
        </is>
      </c>
      <c r="C517" s="2" t="n">
        <v>150</v>
      </c>
      <c r="D517" s="2" t="n">
        <v>3000</v>
      </c>
      <c r="E517" s="3">
        <f>D517*2/60</f>
        <v/>
      </c>
      <c r="F517" s="2" t="inlineStr">
        <is>
          <t>0010</t>
        </is>
      </c>
      <c r="G517" s="2" t="n">
        <v>4</v>
      </c>
      <c r="H517" s="2">
        <f>INDEX(Parametros!$B$2:$B$9,MATCH(G517,Parametros!$A$2:$A$9,0))</f>
        <v/>
      </c>
      <c r="I517" s="4">
        <f>1/(VALUE(MID(F517,1,1))/Parametros!$E$2+VALUE(MID(F517,2,1))/Parametros!$E$3+VALUE(MID(F517,3,1))/Parametros!$E$4+VALUE(MID(F517,4,1))/Parametros!$E$5)</f>
        <v/>
      </c>
      <c r="J517" s="5">
        <f>IF(G517=0,Parametros!$E$8,Parametros!$E$6+Parametros!$E$6*(Parametros!$E$7/G517+I517)/(Parametros!$E$6+Parametros!$E$7/G517+I517))</f>
        <v/>
      </c>
      <c r="K517" s="2" t="inlineStr">
        <is>
          <t>2026-09-30 14:30</t>
        </is>
      </c>
      <c r="L517" s="6" t="inlineStr">
        <is>
          <t>Válido</t>
        </is>
      </c>
      <c r="M517" s="2">
        <f>IF(L517="Válido","Sim","Não")</f>
        <v/>
      </c>
      <c r="N517" s="2" t="inlineStr"/>
    </row>
    <row r="518">
      <c r="A518" s="2" t="inlineStr">
        <is>
          <t>3Bracos_3000_R0010_150W_2026-09-30_14_30.csv</t>
        </is>
      </c>
      <c r="B518" s="2" t="inlineStr">
        <is>
          <t>150W_3000RPM_R0010</t>
        </is>
      </c>
      <c r="C518" s="2" t="n">
        <v>150</v>
      </c>
      <c r="D518" s="2" t="n">
        <v>3000</v>
      </c>
      <c r="E518" s="3">
        <f>D518*2/60</f>
        <v/>
      </c>
      <c r="F518" s="2" t="inlineStr">
        <is>
          <t>0010</t>
        </is>
      </c>
      <c r="G518" s="2" t="n">
        <v>3</v>
      </c>
      <c r="H518" s="2">
        <f>INDEX(Parametros!$B$2:$B$9,MATCH(G518,Parametros!$A$2:$A$9,0))</f>
        <v/>
      </c>
      <c r="I518" s="4">
        <f>1/(VALUE(MID(F518,1,1))/Parametros!$E$2+VALUE(MID(F518,2,1))/Parametros!$E$3+VALUE(MID(F518,3,1))/Parametros!$E$4+VALUE(MID(F518,4,1))/Parametros!$E$5)</f>
        <v/>
      </c>
      <c r="J518" s="5">
        <f>IF(G518=0,Parametros!$E$8,Parametros!$E$6+Parametros!$E$6*(Parametros!$E$7/G518+I518)/(Parametros!$E$6+Parametros!$E$7/G518+I518))</f>
        <v/>
      </c>
      <c r="K518" s="2" t="inlineStr">
        <is>
          <t>2026-09-30 14:30</t>
        </is>
      </c>
      <c r="L518" s="6" t="inlineStr">
        <is>
          <t>Válido</t>
        </is>
      </c>
      <c r="M518" s="2">
        <f>IF(L518="Válido","Sim","Não")</f>
        <v/>
      </c>
      <c r="N518" s="2" t="inlineStr"/>
    </row>
    <row r="519">
      <c r="A519" s="2" t="inlineStr">
        <is>
          <t>2Bracos_3000_R0010_150W_2026-09-30_14_30.csv</t>
        </is>
      </c>
      <c r="B519" s="2" t="inlineStr">
        <is>
          <t>150W_3000RPM_R0010</t>
        </is>
      </c>
      <c r="C519" s="2" t="n">
        <v>150</v>
      </c>
      <c r="D519" s="2" t="n">
        <v>3000</v>
      </c>
      <c r="E519" s="3">
        <f>D519*2/60</f>
        <v/>
      </c>
      <c r="F519" s="2" t="inlineStr">
        <is>
          <t>0010</t>
        </is>
      </c>
      <c r="G519" s="2" t="n">
        <v>2</v>
      </c>
      <c r="H519" s="2">
        <f>INDEX(Parametros!$B$2:$B$9,MATCH(G519,Parametros!$A$2:$A$9,0))</f>
        <v/>
      </c>
      <c r="I519" s="4">
        <f>1/(VALUE(MID(F519,1,1))/Parametros!$E$2+VALUE(MID(F519,2,1))/Parametros!$E$3+VALUE(MID(F519,3,1))/Parametros!$E$4+VALUE(MID(F519,4,1))/Parametros!$E$5)</f>
        <v/>
      </c>
      <c r="J519" s="5">
        <f>IF(G519=0,Parametros!$E$8,Parametros!$E$6+Parametros!$E$6*(Parametros!$E$7/G519+I519)/(Parametros!$E$6+Parametros!$E$7/G519+I519))</f>
        <v/>
      </c>
      <c r="K519" s="2" t="inlineStr">
        <is>
          <t>2026-09-30 14:30</t>
        </is>
      </c>
      <c r="L519" s="6" t="inlineStr">
        <is>
          <t>Válido</t>
        </is>
      </c>
      <c r="M519" s="2">
        <f>IF(L519="Válido","Sim","Não")</f>
        <v/>
      </c>
      <c r="N519" s="2" t="inlineStr"/>
    </row>
    <row r="520">
      <c r="A520" s="2" t="inlineStr">
        <is>
          <t>1Bracos_3000_R0010_150W_2026-09-30_14_30.csv</t>
        </is>
      </c>
      <c r="B520" s="2" t="inlineStr">
        <is>
          <t>150W_3000RPM_R0010</t>
        </is>
      </c>
      <c r="C520" s="2" t="n">
        <v>150</v>
      </c>
      <c r="D520" s="2" t="n">
        <v>3000</v>
      </c>
      <c r="E520" s="3">
        <f>D520*2/60</f>
        <v/>
      </c>
      <c r="F520" s="2" t="inlineStr">
        <is>
          <t>0010</t>
        </is>
      </c>
      <c r="G520" s="2" t="n">
        <v>1</v>
      </c>
      <c r="H520" s="2">
        <f>INDEX(Parametros!$B$2:$B$9,MATCH(G520,Parametros!$A$2:$A$9,0))</f>
        <v/>
      </c>
      <c r="I520" s="4">
        <f>1/(VALUE(MID(F520,1,1))/Parametros!$E$2+VALUE(MID(F520,2,1))/Parametros!$E$3+VALUE(MID(F520,3,1))/Parametros!$E$4+VALUE(MID(F520,4,1))/Parametros!$E$5)</f>
        <v/>
      </c>
      <c r="J520" s="5">
        <f>IF(G520=0,Parametros!$E$8,Parametros!$E$6+Parametros!$E$6*(Parametros!$E$7/G520+I520)/(Parametros!$E$6+Parametros!$E$7/G520+I520))</f>
        <v/>
      </c>
      <c r="K520" s="2" t="inlineStr">
        <is>
          <t>2026-09-30 14:30</t>
        </is>
      </c>
      <c r="L520" s="6" t="inlineStr">
        <is>
          <t>Válido</t>
        </is>
      </c>
      <c r="M520" s="2">
        <f>IF(L520="Válido","Sim","Não")</f>
        <v/>
      </c>
      <c r="N520" s="2" t="inlineStr"/>
    </row>
    <row r="521">
      <c r="A521" s="2" t="inlineStr">
        <is>
          <t>0Bracos_3000_R0010_150W_2026-09-30_14_30.csv</t>
        </is>
      </c>
      <c r="B521" s="2" t="inlineStr">
        <is>
          <t>150W_3000RPM_R0010</t>
        </is>
      </c>
      <c r="C521" s="2" t="n">
        <v>150</v>
      </c>
      <c r="D521" s="2" t="n">
        <v>3000</v>
      </c>
      <c r="E521" s="3">
        <f>D521*2/60</f>
        <v/>
      </c>
      <c r="F521" s="2" t="inlineStr">
        <is>
          <t>0010</t>
        </is>
      </c>
      <c r="G521" s="2" t="n">
        <v>0</v>
      </c>
      <c r="H521" s="2">
        <f>INDEX(Parametros!$B$2:$B$9,MATCH(G521,Parametros!$A$2:$A$9,0))</f>
        <v/>
      </c>
      <c r="I521" s="4">
        <f>1/(VALUE(MID(F521,1,1))/Parametros!$E$2+VALUE(MID(F521,2,1))/Parametros!$E$3+VALUE(MID(F521,3,1))/Parametros!$E$4+VALUE(MID(F521,4,1))/Parametros!$E$5)</f>
        <v/>
      </c>
      <c r="J521" s="5">
        <f>IF(G521=0,Parametros!$E$8,Parametros!$E$6+Parametros!$E$6*(Parametros!$E$7/G521+I521)/(Parametros!$E$6+Parametros!$E$7/G521+I521))</f>
        <v/>
      </c>
      <c r="K521" s="2" t="inlineStr">
        <is>
          <t>2026-09-30 14:30</t>
        </is>
      </c>
      <c r="L521" s="6" t="inlineStr">
        <is>
          <t>Válido</t>
        </is>
      </c>
      <c r="M521" s="2">
        <f>IF(L521="Válido","Sim","Não")</f>
        <v/>
      </c>
      <c r="N521" s="2" t="inlineStr"/>
    </row>
    <row r="522">
      <c r="A522" s="2" t="inlineStr">
        <is>
          <t>7Bracos_3000_R0011_150W_2026-09-30_14_30.csv</t>
        </is>
      </c>
      <c r="B522" s="2" t="inlineStr">
        <is>
          <t>150W_3000RPM_R0011</t>
        </is>
      </c>
      <c r="C522" s="2" t="n">
        <v>150</v>
      </c>
      <c r="D522" s="2" t="n">
        <v>3000</v>
      </c>
      <c r="E522" s="3">
        <f>D522*2/60</f>
        <v/>
      </c>
      <c r="F522" s="2" t="inlineStr">
        <is>
          <t>0011</t>
        </is>
      </c>
      <c r="G522" s="2" t="n">
        <v>7</v>
      </c>
      <c r="H522" s="2">
        <f>INDEX(Parametros!$B$2:$B$9,MATCH(G522,Parametros!$A$2:$A$9,0))</f>
        <v/>
      </c>
      <c r="I522" s="4">
        <f>1/(VALUE(MID(F522,1,1))/Parametros!$E$2+VALUE(MID(F522,2,1))/Parametros!$E$3+VALUE(MID(F522,3,1))/Parametros!$E$4+VALUE(MID(F522,4,1))/Parametros!$E$5)</f>
        <v/>
      </c>
      <c r="J522" s="5">
        <f>IF(G522=0,Parametros!$E$8,Parametros!$E$6+Parametros!$E$6*(Parametros!$E$7/G522+I522)/(Parametros!$E$6+Parametros!$E$7/G522+I522))</f>
        <v/>
      </c>
      <c r="K522" s="2" t="inlineStr">
        <is>
          <t>2026-09-30 14:30</t>
        </is>
      </c>
      <c r="L522" s="6" t="inlineStr">
        <is>
          <t>Válido</t>
        </is>
      </c>
      <c r="M522" s="2">
        <f>IF(L522="Válido","Sim","Não")</f>
        <v/>
      </c>
      <c r="N522" s="2" t="inlineStr"/>
    </row>
    <row r="523">
      <c r="A523" s="2" t="inlineStr">
        <is>
          <t>6Bracos_3000_R0011_150W_2026-09-30_14_30.csv</t>
        </is>
      </c>
      <c r="B523" s="2" t="inlineStr">
        <is>
          <t>150W_3000RPM_R0011</t>
        </is>
      </c>
      <c r="C523" s="2" t="n">
        <v>150</v>
      </c>
      <c r="D523" s="2" t="n">
        <v>3000</v>
      </c>
      <c r="E523" s="3">
        <f>D523*2/60</f>
        <v/>
      </c>
      <c r="F523" s="2" t="inlineStr">
        <is>
          <t>0011</t>
        </is>
      </c>
      <c r="G523" s="2" t="n">
        <v>6</v>
      </c>
      <c r="H523" s="2">
        <f>INDEX(Parametros!$B$2:$B$9,MATCH(G523,Parametros!$A$2:$A$9,0))</f>
        <v/>
      </c>
      <c r="I523" s="4">
        <f>1/(VALUE(MID(F523,1,1))/Parametros!$E$2+VALUE(MID(F523,2,1))/Parametros!$E$3+VALUE(MID(F523,3,1))/Parametros!$E$4+VALUE(MID(F523,4,1))/Parametros!$E$5)</f>
        <v/>
      </c>
      <c r="J523" s="5">
        <f>IF(G523=0,Parametros!$E$8,Parametros!$E$6+Parametros!$E$6*(Parametros!$E$7/G523+I523)/(Parametros!$E$6+Parametros!$E$7/G523+I523))</f>
        <v/>
      </c>
      <c r="K523" s="2" t="inlineStr">
        <is>
          <t>2026-09-30 14:30</t>
        </is>
      </c>
      <c r="L523" s="6" t="inlineStr">
        <is>
          <t>Válido</t>
        </is>
      </c>
      <c r="M523" s="2">
        <f>IF(L523="Válido","Sim","Não")</f>
        <v/>
      </c>
      <c r="N523" s="2" t="inlineStr"/>
    </row>
    <row r="524">
      <c r="A524" s="2" t="inlineStr">
        <is>
          <t>5Bracos_3000_R0011_150W_2026-09-30_14_30.csv</t>
        </is>
      </c>
      <c r="B524" s="2" t="inlineStr">
        <is>
          <t>150W_3000RPM_R0011</t>
        </is>
      </c>
      <c r="C524" s="2" t="n">
        <v>150</v>
      </c>
      <c r="D524" s="2" t="n">
        <v>3000</v>
      </c>
      <c r="E524" s="3">
        <f>D524*2/60</f>
        <v/>
      </c>
      <c r="F524" s="2" t="inlineStr">
        <is>
          <t>0011</t>
        </is>
      </c>
      <c r="G524" s="2" t="n">
        <v>5</v>
      </c>
      <c r="H524" s="2">
        <f>INDEX(Parametros!$B$2:$B$9,MATCH(G524,Parametros!$A$2:$A$9,0))</f>
        <v/>
      </c>
      <c r="I524" s="4">
        <f>1/(VALUE(MID(F524,1,1))/Parametros!$E$2+VALUE(MID(F524,2,1))/Parametros!$E$3+VALUE(MID(F524,3,1))/Parametros!$E$4+VALUE(MID(F524,4,1))/Parametros!$E$5)</f>
        <v/>
      </c>
      <c r="J524" s="5">
        <f>IF(G524=0,Parametros!$E$8,Parametros!$E$6+Parametros!$E$6*(Parametros!$E$7/G524+I524)/(Parametros!$E$6+Parametros!$E$7/G524+I524))</f>
        <v/>
      </c>
      <c r="K524" s="2" t="inlineStr">
        <is>
          <t>2026-09-30 14:30</t>
        </is>
      </c>
      <c r="L524" s="6" t="inlineStr">
        <is>
          <t>Válido</t>
        </is>
      </c>
      <c r="M524" s="2">
        <f>IF(L524="Válido","Sim","Não")</f>
        <v/>
      </c>
      <c r="N524" s="2" t="inlineStr"/>
    </row>
    <row r="525">
      <c r="A525" s="2" t="inlineStr">
        <is>
          <t>4Bracos_3000_R0011_150W_2026-09-30_14_30.csv</t>
        </is>
      </c>
      <c r="B525" s="2" t="inlineStr">
        <is>
          <t>150W_3000RPM_R0011</t>
        </is>
      </c>
      <c r="C525" s="2" t="n">
        <v>150</v>
      </c>
      <c r="D525" s="2" t="n">
        <v>3000</v>
      </c>
      <c r="E525" s="3">
        <f>D525*2/60</f>
        <v/>
      </c>
      <c r="F525" s="2" t="inlineStr">
        <is>
          <t>0011</t>
        </is>
      </c>
      <c r="G525" s="2" t="n">
        <v>4</v>
      </c>
      <c r="H525" s="2">
        <f>INDEX(Parametros!$B$2:$B$9,MATCH(G525,Parametros!$A$2:$A$9,0))</f>
        <v/>
      </c>
      <c r="I525" s="4">
        <f>1/(VALUE(MID(F525,1,1))/Parametros!$E$2+VALUE(MID(F525,2,1))/Parametros!$E$3+VALUE(MID(F525,3,1))/Parametros!$E$4+VALUE(MID(F525,4,1))/Parametros!$E$5)</f>
        <v/>
      </c>
      <c r="J525" s="5">
        <f>IF(G525=0,Parametros!$E$8,Parametros!$E$6+Parametros!$E$6*(Parametros!$E$7/G525+I525)/(Parametros!$E$6+Parametros!$E$7/G525+I525))</f>
        <v/>
      </c>
      <c r="K525" s="2" t="inlineStr">
        <is>
          <t>2026-09-30 14:30</t>
        </is>
      </c>
      <c r="L525" s="6" t="inlineStr">
        <is>
          <t>Válido</t>
        </is>
      </c>
      <c r="M525" s="2">
        <f>IF(L525="Válido","Sim","Não")</f>
        <v/>
      </c>
      <c r="N525" s="2" t="inlineStr"/>
    </row>
    <row r="526">
      <c r="A526" s="2" t="inlineStr">
        <is>
          <t>3Bracos_3000_R0011_150W_2026-09-30_14_30.csv</t>
        </is>
      </c>
      <c r="B526" s="2" t="inlineStr">
        <is>
          <t>150W_3000RPM_R0011</t>
        </is>
      </c>
      <c r="C526" s="2" t="n">
        <v>150</v>
      </c>
      <c r="D526" s="2" t="n">
        <v>3000</v>
      </c>
      <c r="E526" s="3">
        <f>D526*2/60</f>
        <v/>
      </c>
      <c r="F526" s="2" t="inlineStr">
        <is>
          <t>0011</t>
        </is>
      </c>
      <c r="G526" s="2" t="n">
        <v>3</v>
      </c>
      <c r="H526" s="2">
        <f>INDEX(Parametros!$B$2:$B$9,MATCH(G526,Parametros!$A$2:$A$9,0))</f>
        <v/>
      </c>
      <c r="I526" s="4">
        <f>1/(VALUE(MID(F526,1,1))/Parametros!$E$2+VALUE(MID(F526,2,1))/Parametros!$E$3+VALUE(MID(F526,3,1))/Parametros!$E$4+VALUE(MID(F526,4,1))/Parametros!$E$5)</f>
        <v/>
      </c>
      <c r="J526" s="5">
        <f>IF(G526=0,Parametros!$E$8,Parametros!$E$6+Parametros!$E$6*(Parametros!$E$7/G526+I526)/(Parametros!$E$6+Parametros!$E$7/G526+I526))</f>
        <v/>
      </c>
      <c r="K526" s="2" t="inlineStr">
        <is>
          <t>2026-09-30 14:30</t>
        </is>
      </c>
      <c r="L526" s="6" t="inlineStr">
        <is>
          <t>Válido</t>
        </is>
      </c>
      <c r="M526" s="2">
        <f>IF(L526="Válido","Sim","Não")</f>
        <v/>
      </c>
      <c r="N526" s="2" t="inlineStr"/>
    </row>
    <row r="527">
      <c r="A527" s="2" t="inlineStr">
        <is>
          <t>2Bracos_3000_R0011_150W_2026-09-30_14_30.csv</t>
        </is>
      </c>
      <c r="B527" s="2" t="inlineStr">
        <is>
          <t>150W_3000RPM_R0011</t>
        </is>
      </c>
      <c r="C527" s="2" t="n">
        <v>150</v>
      </c>
      <c r="D527" s="2" t="n">
        <v>3000</v>
      </c>
      <c r="E527" s="3">
        <f>D527*2/60</f>
        <v/>
      </c>
      <c r="F527" s="2" t="inlineStr">
        <is>
          <t>0011</t>
        </is>
      </c>
      <c r="G527" s="2" t="n">
        <v>2</v>
      </c>
      <c r="H527" s="2">
        <f>INDEX(Parametros!$B$2:$B$9,MATCH(G527,Parametros!$A$2:$A$9,0))</f>
        <v/>
      </c>
      <c r="I527" s="4">
        <f>1/(VALUE(MID(F527,1,1))/Parametros!$E$2+VALUE(MID(F527,2,1))/Parametros!$E$3+VALUE(MID(F527,3,1))/Parametros!$E$4+VALUE(MID(F527,4,1))/Parametros!$E$5)</f>
        <v/>
      </c>
      <c r="J527" s="5">
        <f>IF(G527=0,Parametros!$E$8,Parametros!$E$6+Parametros!$E$6*(Parametros!$E$7/G527+I527)/(Parametros!$E$6+Parametros!$E$7/G527+I527))</f>
        <v/>
      </c>
      <c r="K527" s="2" t="inlineStr">
        <is>
          <t>2026-09-30 14:30</t>
        </is>
      </c>
      <c r="L527" s="6" t="inlineStr">
        <is>
          <t>Válido</t>
        </is>
      </c>
      <c r="M527" s="2">
        <f>IF(L527="Válido","Sim","Não")</f>
        <v/>
      </c>
      <c r="N527" s="2" t="inlineStr"/>
    </row>
    <row r="528">
      <c r="A528" s="2" t="inlineStr">
        <is>
          <t>1Bracos_3000_R0011_150W_2026-09-30_14_30.csv</t>
        </is>
      </c>
      <c r="B528" s="2" t="inlineStr">
        <is>
          <t>150W_3000RPM_R0011</t>
        </is>
      </c>
      <c r="C528" s="2" t="n">
        <v>150</v>
      </c>
      <c r="D528" s="2" t="n">
        <v>3000</v>
      </c>
      <c r="E528" s="3">
        <f>D528*2/60</f>
        <v/>
      </c>
      <c r="F528" s="2" t="inlineStr">
        <is>
          <t>0011</t>
        </is>
      </c>
      <c r="G528" s="2" t="n">
        <v>1</v>
      </c>
      <c r="H528" s="2">
        <f>INDEX(Parametros!$B$2:$B$9,MATCH(G528,Parametros!$A$2:$A$9,0))</f>
        <v/>
      </c>
      <c r="I528" s="4">
        <f>1/(VALUE(MID(F528,1,1))/Parametros!$E$2+VALUE(MID(F528,2,1))/Parametros!$E$3+VALUE(MID(F528,3,1))/Parametros!$E$4+VALUE(MID(F528,4,1))/Parametros!$E$5)</f>
        <v/>
      </c>
      <c r="J528" s="5">
        <f>IF(G528=0,Parametros!$E$8,Parametros!$E$6+Parametros!$E$6*(Parametros!$E$7/G528+I528)/(Parametros!$E$6+Parametros!$E$7/G528+I528))</f>
        <v/>
      </c>
      <c r="K528" s="2" t="inlineStr">
        <is>
          <t>2026-09-30 14:30</t>
        </is>
      </c>
      <c r="L528" s="6" t="inlineStr">
        <is>
          <t>Válido</t>
        </is>
      </c>
      <c r="M528" s="2">
        <f>IF(L528="Válido","Sim","Não")</f>
        <v/>
      </c>
      <c r="N528" s="2" t="inlineStr"/>
    </row>
    <row r="529">
      <c r="A529" s="2" t="inlineStr">
        <is>
          <t>0Bracos_3000_R0011_150W_2026-09-30_14_30.csv</t>
        </is>
      </c>
      <c r="B529" s="2" t="inlineStr">
        <is>
          <t>150W_3000RPM_R0011</t>
        </is>
      </c>
      <c r="C529" s="2" t="n">
        <v>150</v>
      </c>
      <c r="D529" s="2" t="n">
        <v>3000</v>
      </c>
      <c r="E529" s="3">
        <f>D529*2/60</f>
        <v/>
      </c>
      <c r="F529" s="2" t="inlineStr">
        <is>
          <t>0011</t>
        </is>
      </c>
      <c r="G529" s="2" t="n">
        <v>0</v>
      </c>
      <c r="H529" s="2">
        <f>INDEX(Parametros!$B$2:$B$9,MATCH(G529,Parametros!$A$2:$A$9,0))</f>
        <v/>
      </c>
      <c r="I529" s="4">
        <f>1/(VALUE(MID(F529,1,1))/Parametros!$E$2+VALUE(MID(F529,2,1))/Parametros!$E$3+VALUE(MID(F529,3,1))/Parametros!$E$4+VALUE(MID(F529,4,1))/Parametros!$E$5)</f>
        <v/>
      </c>
      <c r="J529" s="5">
        <f>IF(G529=0,Parametros!$E$8,Parametros!$E$6+Parametros!$E$6*(Parametros!$E$7/G529+I529)/(Parametros!$E$6+Parametros!$E$7/G529+I529))</f>
        <v/>
      </c>
      <c r="K529" s="2" t="inlineStr">
        <is>
          <t>2026-09-30 14:30</t>
        </is>
      </c>
      <c r="L529" s="6" t="inlineStr">
        <is>
          <t>Válido</t>
        </is>
      </c>
      <c r="M529" s="2">
        <f>IF(L529="Válido","Sim","Não")</f>
        <v/>
      </c>
      <c r="N529" s="2" t="inlineStr"/>
    </row>
    <row r="530">
      <c r="A530" s="2" t="inlineStr">
        <is>
          <t>7Bracos_3000_R0100_150W_2026-09-30_14_30.csv</t>
        </is>
      </c>
      <c r="B530" s="2" t="inlineStr">
        <is>
          <t>150W_3000RPM_R0100</t>
        </is>
      </c>
      <c r="C530" s="2" t="n">
        <v>150</v>
      </c>
      <c r="D530" s="2" t="n">
        <v>3000</v>
      </c>
      <c r="E530" s="3">
        <f>D530*2/60</f>
        <v/>
      </c>
      <c r="F530" s="2" t="inlineStr">
        <is>
          <t>0100</t>
        </is>
      </c>
      <c r="G530" s="2" t="n">
        <v>7</v>
      </c>
      <c r="H530" s="2">
        <f>INDEX(Parametros!$B$2:$B$9,MATCH(G530,Parametros!$A$2:$A$9,0))</f>
        <v/>
      </c>
      <c r="I530" s="4">
        <f>1/(VALUE(MID(F530,1,1))/Parametros!$E$2+VALUE(MID(F530,2,1))/Parametros!$E$3+VALUE(MID(F530,3,1))/Parametros!$E$4+VALUE(MID(F530,4,1))/Parametros!$E$5)</f>
        <v/>
      </c>
      <c r="J530" s="5">
        <f>IF(G530=0,Parametros!$E$8,Parametros!$E$6+Parametros!$E$6*(Parametros!$E$7/G530+I530)/(Parametros!$E$6+Parametros!$E$7/G530+I530))</f>
        <v/>
      </c>
      <c r="K530" s="2" t="inlineStr">
        <is>
          <t>2026-09-30 14:30</t>
        </is>
      </c>
      <c r="L530" s="6" t="inlineStr">
        <is>
          <t>Válido</t>
        </is>
      </c>
      <c r="M530" s="2">
        <f>IF(L530="Válido","Sim","Não")</f>
        <v/>
      </c>
      <c r="N530" s="2" t="inlineStr"/>
    </row>
    <row r="531">
      <c r="A531" s="2" t="inlineStr">
        <is>
          <t>6Bracos_3000_R0100_150W_2026-09-30_14_30.csv</t>
        </is>
      </c>
      <c r="B531" s="2" t="inlineStr">
        <is>
          <t>150W_3000RPM_R0100</t>
        </is>
      </c>
      <c r="C531" s="2" t="n">
        <v>150</v>
      </c>
      <c r="D531" s="2" t="n">
        <v>3000</v>
      </c>
      <c r="E531" s="3">
        <f>D531*2/60</f>
        <v/>
      </c>
      <c r="F531" s="2" t="inlineStr">
        <is>
          <t>0100</t>
        </is>
      </c>
      <c r="G531" s="2" t="n">
        <v>6</v>
      </c>
      <c r="H531" s="2">
        <f>INDEX(Parametros!$B$2:$B$9,MATCH(G531,Parametros!$A$2:$A$9,0))</f>
        <v/>
      </c>
      <c r="I531" s="4">
        <f>1/(VALUE(MID(F531,1,1))/Parametros!$E$2+VALUE(MID(F531,2,1))/Parametros!$E$3+VALUE(MID(F531,3,1))/Parametros!$E$4+VALUE(MID(F531,4,1))/Parametros!$E$5)</f>
        <v/>
      </c>
      <c r="J531" s="5">
        <f>IF(G531=0,Parametros!$E$8,Parametros!$E$6+Parametros!$E$6*(Parametros!$E$7/G531+I531)/(Parametros!$E$6+Parametros!$E$7/G531+I531))</f>
        <v/>
      </c>
      <c r="K531" s="2" t="inlineStr">
        <is>
          <t>2026-09-30 14:30</t>
        </is>
      </c>
      <c r="L531" s="6" t="inlineStr">
        <is>
          <t>Válido</t>
        </is>
      </c>
      <c r="M531" s="2">
        <f>IF(L531="Válido","Sim","Não")</f>
        <v/>
      </c>
      <c r="N531" s="2" t="inlineStr"/>
    </row>
    <row r="532">
      <c r="A532" s="2" t="inlineStr">
        <is>
          <t>5Bracos_3000_R0100_150W_2026-09-30_14_30.csv</t>
        </is>
      </c>
      <c r="B532" s="2" t="inlineStr">
        <is>
          <t>150W_3000RPM_R0100</t>
        </is>
      </c>
      <c r="C532" s="2" t="n">
        <v>150</v>
      </c>
      <c r="D532" s="2" t="n">
        <v>3000</v>
      </c>
      <c r="E532" s="3">
        <f>D532*2/60</f>
        <v/>
      </c>
      <c r="F532" s="2" t="inlineStr">
        <is>
          <t>0100</t>
        </is>
      </c>
      <c r="G532" s="2" t="n">
        <v>5</v>
      </c>
      <c r="H532" s="2">
        <f>INDEX(Parametros!$B$2:$B$9,MATCH(G532,Parametros!$A$2:$A$9,0))</f>
        <v/>
      </c>
      <c r="I532" s="4">
        <f>1/(VALUE(MID(F532,1,1))/Parametros!$E$2+VALUE(MID(F532,2,1))/Parametros!$E$3+VALUE(MID(F532,3,1))/Parametros!$E$4+VALUE(MID(F532,4,1))/Parametros!$E$5)</f>
        <v/>
      </c>
      <c r="J532" s="5">
        <f>IF(G532=0,Parametros!$E$8,Parametros!$E$6+Parametros!$E$6*(Parametros!$E$7/G532+I532)/(Parametros!$E$6+Parametros!$E$7/G532+I532))</f>
        <v/>
      </c>
      <c r="K532" s="2" t="inlineStr">
        <is>
          <t>2026-09-30 14:30</t>
        </is>
      </c>
      <c r="L532" s="6" t="inlineStr">
        <is>
          <t>Válido</t>
        </is>
      </c>
      <c r="M532" s="2">
        <f>IF(L532="Válido","Sim","Não")</f>
        <v/>
      </c>
      <c r="N532" s="2" t="inlineStr"/>
    </row>
    <row r="533">
      <c r="A533" s="2" t="inlineStr">
        <is>
          <t>4Bracos_3000_R0100_150W_2026-09-30_14_30.csv</t>
        </is>
      </c>
      <c r="B533" s="2" t="inlineStr">
        <is>
          <t>150W_3000RPM_R0100</t>
        </is>
      </c>
      <c r="C533" s="2" t="n">
        <v>150</v>
      </c>
      <c r="D533" s="2" t="n">
        <v>3000</v>
      </c>
      <c r="E533" s="3">
        <f>D533*2/60</f>
        <v/>
      </c>
      <c r="F533" s="2" t="inlineStr">
        <is>
          <t>0100</t>
        </is>
      </c>
      <c r="G533" s="2" t="n">
        <v>4</v>
      </c>
      <c r="H533" s="2">
        <f>INDEX(Parametros!$B$2:$B$9,MATCH(G533,Parametros!$A$2:$A$9,0))</f>
        <v/>
      </c>
      <c r="I533" s="4">
        <f>1/(VALUE(MID(F533,1,1))/Parametros!$E$2+VALUE(MID(F533,2,1))/Parametros!$E$3+VALUE(MID(F533,3,1))/Parametros!$E$4+VALUE(MID(F533,4,1))/Parametros!$E$5)</f>
        <v/>
      </c>
      <c r="J533" s="5">
        <f>IF(G533=0,Parametros!$E$8,Parametros!$E$6+Parametros!$E$6*(Parametros!$E$7/G533+I533)/(Parametros!$E$6+Parametros!$E$7/G533+I533))</f>
        <v/>
      </c>
      <c r="K533" s="2" t="inlineStr">
        <is>
          <t>2026-09-30 14:30</t>
        </is>
      </c>
      <c r="L533" s="6" t="inlineStr">
        <is>
          <t>Válido</t>
        </is>
      </c>
      <c r="M533" s="2">
        <f>IF(L533="Válido","Sim","Não")</f>
        <v/>
      </c>
      <c r="N533" s="2" t="inlineStr"/>
    </row>
    <row r="534">
      <c r="A534" s="2" t="inlineStr">
        <is>
          <t>3Bracos_3000_R0100_150W_2026-09-30_14_30.csv</t>
        </is>
      </c>
      <c r="B534" s="2" t="inlineStr">
        <is>
          <t>150W_3000RPM_R0100</t>
        </is>
      </c>
      <c r="C534" s="2" t="n">
        <v>150</v>
      </c>
      <c r="D534" s="2" t="n">
        <v>3000</v>
      </c>
      <c r="E534" s="3">
        <f>D534*2/60</f>
        <v/>
      </c>
      <c r="F534" s="2" t="inlineStr">
        <is>
          <t>0100</t>
        </is>
      </c>
      <c r="G534" s="2" t="n">
        <v>3</v>
      </c>
      <c r="H534" s="2">
        <f>INDEX(Parametros!$B$2:$B$9,MATCH(G534,Parametros!$A$2:$A$9,0))</f>
        <v/>
      </c>
      <c r="I534" s="4">
        <f>1/(VALUE(MID(F534,1,1))/Parametros!$E$2+VALUE(MID(F534,2,1))/Parametros!$E$3+VALUE(MID(F534,3,1))/Parametros!$E$4+VALUE(MID(F534,4,1))/Parametros!$E$5)</f>
        <v/>
      </c>
      <c r="J534" s="5">
        <f>IF(G534=0,Parametros!$E$8,Parametros!$E$6+Parametros!$E$6*(Parametros!$E$7/G534+I534)/(Parametros!$E$6+Parametros!$E$7/G534+I534))</f>
        <v/>
      </c>
      <c r="K534" s="2" t="inlineStr">
        <is>
          <t>2026-09-30 14:30</t>
        </is>
      </c>
      <c r="L534" s="6" t="inlineStr">
        <is>
          <t>Válido</t>
        </is>
      </c>
      <c r="M534" s="2">
        <f>IF(L534="Válido","Sim","Não")</f>
        <v/>
      </c>
      <c r="N534" s="2" t="inlineStr"/>
    </row>
    <row r="535">
      <c r="A535" s="2" t="inlineStr">
        <is>
          <t>2Bracos_3000_R0100_150W_2026-09-30_14_30.csv</t>
        </is>
      </c>
      <c r="B535" s="2" t="inlineStr">
        <is>
          <t>150W_3000RPM_R0100</t>
        </is>
      </c>
      <c r="C535" s="2" t="n">
        <v>150</v>
      </c>
      <c r="D535" s="2" t="n">
        <v>3000</v>
      </c>
      <c r="E535" s="3">
        <f>D535*2/60</f>
        <v/>
      </c>
      <c r="F535" s="2" t="inlineStr">
        <is>
          <t>0100</t>
        </is>
      </c>
      <c r="G535" s="2" t="n">
        <v>2</v>
      </c>
      <c r="H535" s="2">
        <f>INDEX(Parametros!$B$2:$B$9,MATCH(G535,Parametros!$A$2:$A$9,0))</f>
        <v/>
      </c>
      <c r="I535" s="4">
        <f>1/(VALUE(MID(F535,1,1))/Parametros!$E$2+VALUE(MID(F535,2,1))/Parametros!$E$3+VALUE(MID(F535,3,1))/Parametros!$E$4+VALUE(MID(F535,4,1))/Parametros!$E$5)</f>
        <v/>
      </c>
      <c r="J535" s="5">
        <f>IF(G535=0,Parametros!$E$8,Parametros!$E$6+Parametros!$E$6*(Parametros!$E$7/G535+I535)/(Parametros!$E$6+Parametros!$E$7/G535+I535))</f>
        <v/>
      </c>
      <c r="K535" s="2" t="inlineStr">
        <is>
          <t>2026-09-30 14:30</t>
        </is>
      </c>
      <c r="L535" s="6" t="inlineStr">
        <is>
          <t>Válido</t>
        </is>
      </c>
      <c r="M535" s="2">
        <f>IF(L535="Válido","Sim","Não")</f>
        <v/>
      </c>
      <c r="N535" s="2" t="inlineStr"/>
    </row>
    <row r="536">
      <c r="A536" s="2" t="inlineStr">
        <is>
          <t>1Bracos_3000_R0100_150W_2026-09-30_14_30.csv</t>
        </is>
      </c>
      <c r="B536" s="2" t="inlineStr">
        <is>
          <t>150W_3000RPM_R0100</t>
        </is>
      </c>
      <c r="C536" s="2" t="n">
        <v>150</v>
      </c>
      <c r="D536" s="2" t="n">
        <v>3000</v>
      </c>
      <c r="E536" s="3">
        <f>D536*2/60</f>
        <v/>
      </c>
      <c r="F536" s="2" t="inlineStr">
        <is>
          <t>0100</t>
        </is>
      </c>
      <c r="G536" s="2" t="n">
        <v>1</v>
      </c>
      <c r="H536" s="2">
        <f>INDEX(Parametros!$B$2:$B$9,MATCH(G536,Parametros!$A$2:$A$9,0))</f>
        <v/>
      </c>
      <c r="I536" s="4">
        <f>1/(VALUE(MID(F536,1,1))/Parametros!$E$2+VALUE(MID(F536,2,1))/Parametros!$E$3+VALUE(MID(F536,3,1))/Parametros!$E$4+VALUE(MID(F536,4,1))/Parametros!$E$5)</f>
        <v/>
      </c>
      <c r="J536" s="5">
        <f>IF(G536=0,Parametros!$E$8,Parametros!$E$6+Parametros!$E$6*(Parametros!$E$7/G536+I536)/(Parametros!$E$6+Parametros!$E$7/G536+I536))</f>
        <v/>
      </c>
      <c r="K536" s="2" t="inlineStr">
        <is>
          <t>2026-09-30 14:30</t>
        </is>
      </c>
      <c r="L536" s="6" t="inlineStr">
        <is>
          <t>Válido</t>
        </is>
      </c>
      <c r="M536" s="2">
        <f>IF(L536="Válido","Sim","Não")</f>
        <v/>
      </c>
      <c r="N536" s="2" t="inlineStr"/>
    </row>
    <row r="537">
      <c r="A537" s="2" t="inlineStr">
        <is>
          <t>0Bracos_3000_R0100_150W_2026-09-30_14_30.csv</t>
        </is>
      </c>
      <c r="B537" s="2" t="inlineStr">
        <is>
          <t>150W_3000RPM_R0100</t>
        </is>
      </c>
      <c r="C537" s="2" t="n">
        <v>150</v>
      </c>
      <c r="D537" s="2" t="n">
        <v>3000</v>
      </c>
      <c r="E537" s="3">
        <f>D537*2/60</f>
        <v/>
      </c>
      <c r="F537" s="2" t="inlineStr">
        <is>
          <t>0100</t>
        </is>
      </c>
      <c r="G537" s="2" t="n">
        <v>0</v>
      </c>
      <c r="H537" s="2">
        <f>INDEX(Parametros!$B$2:$B$9,MATCH(G537,Parametros!$A$2:$A$9,0))</f>
        <v/>
      </c>
      <c r="I537" s="4">
        <f>1/(VALUE(MID(F537,1,1))/Parametros!$E$2+VALUE(MID(F537,2,1))/Parametros!$E$3+VALUE(MID(F537,3,1))/Parametros!$E$4+VALUE(MID(F537,4,1))/Parametros!$E$5)</f>
        <v/>
      </c>
      <c r="J537" s="5">
        <f>IF(G537=0,Parametros!$E$8,Parametros!$E$6+Parametros!$E$6*(Parametros!$E$7/G537+I537)/(Parametros!$E$6+Parametros!$E$7/G537+I537))</f>
        <v/>
      </c>
      <c r="K537" s="2" t="inlineStr">
        <is>
          <t>2026-09-30 14:30</t>
        </is>
      </c>
      <c r="L537" s="6" t="inlineStr">
        <is>
          <t>Válido</t>
        </is>
      </c>
      <c r="M537" s="2">
        <f>IF(L537="Válido","Sim","Não")</f>
        <v/>
      </c>
      <c r="N537" s="2" t="inlineStr"/>
    </row>
    <row r="538">
      <c r="A538" s="2" t="inlineStr">
        <is>
          <t>7Bracos_3000_R0101_150W_2026-09-30_14_30.csv</t>
        </is>
      </c>
      <c r="B538" s="2" t="inlineStr">
        <is>
          <t>150W_3000RPM_R0101</t>
        </is>
      </c>
      <c r="C538" s="2" t="n">
        <v>150</v>
      </c>
      <c r="D538" s="2" t="n">
        <v>3000</v>
      </c>
      <c r="E538" s="3">
        <f>D538*2/60</f>
        <v/>
      </c>
      <c r="F538" s="2" t="inlineStr">
        <is>
          <t>0101</t>
        </is>
      </c>
      <c r="G538" s="2" t="n">
        <v>7</v>
      </c>
      <c r="H538" s="2">
        <f>INDEX(Parametros!$B$2:$B$9,MATCH(G538,Parametros!$A$2:$A$9,0))</f>
        <v/>
      </c>
      <c r="I538" s="4">
        <f>1/(VALUE(MID(F538,1,1))/Parametros!$E$2+VALUE(MID(F538,2,1))/Parametros!$E$3+VALUE(MID(F538,3,1))/Parametros!$E$4+VALUE(MID(F538,4,1))/Parametros!$E$5)</f>
        <v/>
      </c>
      <c r="J538" s="5">
        <f>IF(G538=0,Parametros!$E$8,Parametros!$E$6+Parametros!$E$6*(Parametros!$E$7/G538+I538)/(Parametros!$E$6+Parametros!$E$7/G538+I538))</f>
        <v/>
      </c>
      <c r="K538" s="2" t="inlineStr">
        <is>
          <t>2026-09-30 14:30</t>
        </is>
      </c>
      <c r="L538" s="6" t="inlineStr">
        <is>
          <t>Válido</t>
        </is>
      </c>
      <c r="M538" s="2">
        <f>IF(L538="Válido","Sim","Não")</f>
        <v/>
      </c>
      <c r="N538" s="2" t="inlineStr"/>
    </row>
    <row r="539">
      <c r="A539" s="2" t="inlineStr">
        <is>
          <t>6Bracos_3000_R0101_150W_2026-09-30_14_30.csv</t>
        </is>
      </c>
      <c r="B539" s="2" t="inlineStr">
        <is>
          <t>150W_3000RPM_R0101</t>
        </is>
      </c>
      <c r="C539" s="2" t="n">
        <v>150</v>
      </c>
      <c r="D539" s="2" t="n">
        <v>3000</v>
      </c>
      <c r="E539" s="3">
        <f>D539*2/60</f>
        <v/>
      </c>
      <c r="F539" s="2" t="inlineStr">
        <is>
          <t>0101</t>
        </is>
      </c>
      <c r="G539" s="2" t="n">
        <v>6</v>
      </c>
      <c r="H539" s="2">
        <f>INDEX(Parametros!$B$2:$B$9,MATCH(G539,Parametros!$A$2:$A$9,0))</f>
        <v/>
      </c>
      <c r="I539" s="4">
        <f>1/(VALUE(MID(F539,1,1))/Parametros!$E$2+VALUE(MID(F539,2,1))/Parametros!$E$3+VALUE(MID(F539,3,1))/Parametros!$E$4+VALUE(MID(F539,4,1))/Parametros!$E$5)</f>
        <v/>
      </c>
      <c r="J539" s="5">
        <f>IF(G539=0,Parametros!$E$8,Parametros!$E$6+Parametros!$E$6*(Parametros!$E$7/G539+I539)/(Parametros!$E$6+Parametros!$E$7/G539+I539))</f>
        <v/>
      </c>
      <c r="K539" s="2" t="inlineStr">
        <is>
          <t>2026-09-30 14:30</t>
        </is>
      </c>
      <c r="L539" s="6" t="inlineStr">
        <is>
          <t>Válido</t>
        </is>
      </c>
      <c r="M539" s="2">
        <f>IF(L539="Válido","Sim","Não")</f>
        <v/>
      </c>
      <c r="N539" s="2" t="inlineStr"/>
    </row>
    <row r="540">
      <c r="A540" s="2" t="inlineStr">
        <is>
          <t>5Bracos_3000_R0101_150W_2026-09-30_14_30.csv</t>
        </is>
      </c>
      <c r="B540" s="2" t="inlineStr">
        <is>
          <t>150W_3000RPM_R0101</t>
        </is>
      </c>
      <c r="C540" s="2" t="n">
        <v>150</v>
      </c>
      <c r="D540" s="2" t="n">
        <v>3000</v>
      </c>
      <c r="E540" s="3">
        <f>D540*2/60</f>
        <v/>
      </c>
      <c r="F540" s="2" t="inlineStr">
        <is>
          <t>0101</t>
        </is>
      </c>
      <c r="G540" s="2" t="n">
        <v>5</v>
      </c>
      <c r="H540" s="2">
        <f>INDEX(Parametros!$B$2:$B$9,MATCH(G540,Parametros!$A$2:$A$9,0))</f>
        <v/>
      </c>
      <c r="I540" s="4">
        <f>1/(VALUE(MID(F540,1,1))/Parametros!$E$2+VALUE(MID(F540,2,1))/Parametros!$E$3+VALUE(MID(F540,3,1))/Parametros!$E$4+VALUE(MID(F540,4,1))/Parametros!$E$5)</f>
        <v/>
      </c>
      <c r="J540" s="5">
        <f>IF(G540=0,Parametros!$E$8,Parametros!$E$6+Parametros!$E$6*(Parametros!$E$7/G540+I540)/(Parametros!$E$6+Parametros!$E$7/G540+I540))</f>
        <v/>
      </c>
      <c r="K540" s="2" t="inlineStr">
        <is>
          <t>2026-09-30 14:30</t>
        </is>
      </c>
      <c r="L540" s="6" t="inlineStr">
        <is>
          <t>Válido</t>
        </is>
      </c>
      <c r="M540" s="2">
        <f>IF(L540="Válido","Sim","Não")</f>
        <v/>
      </c>
      <c r="N540" s="2" t="inlineStr"/>
    </row>
    <row r="541">
      <c r="A541" s="2" t="inlineStr">
        <is>
          <t>4Bracos_3000_R0101_150W_2026-09-30_14_30.csv</t>
        </is>
      </c>
      <c r="B541" s="2" t="inlineStr">
        <is>
          <t>150W_3000RPM_R0101</t>
        </is>
      </c>
      <c r="C541" s="2" t="n">
        <v>150</v>
      </c>
      <c r="D541" s="2" t="n">
        <v>3000</v>
      </c>
      <c r="E541" s="3">
        <f>D541*2/60</f>
        <v/>
      </c>
      <c r="F541" s="2" t="inlineStr">
        <is>
          <t>0101</t>
        </is>
      </c>
      <c r="G541" s="2" t="n">
        <v>4</v>
      </c>
      <c r="H541" s="2">
        <f>INDEX(Parametros!$B$2:$B$9,MATCH(G541,Parametros!$A$2:$A$9,0))</f>
        <v/>
      </c>
      <c r="I541" s="4">
        <f>1/(VALUE(MID(F541,1,1))/Parametros!$E$2+VALUE(MID(F541,2,1))/Parametros!$E$3+VALUE(MID(F541,3,1))/Parametros!$E$4+VALUE(MID(F541,4,1))/Parametros!$E$5)</f>
        <v/>
      </c>
      <c r="J541" s="5">
        <f>IF(G541=0,Parametros!$E$8,Parametros!$E$6+Parametros!$E$6*(Parametros!$E$7/G541+I541)/(Parametros!$E$6+Parametros!$E$7/G541+I541))</f>
        <v/>
      </c>
      <c r="K541" s="2" t="inlineStr">
        <is>
          <t>2026-09-30 14:30</t>
        </is>
      </c>
      <c r="L541" s="6" t="inlineStr">
        <is>
          <t>Válido</t>
        </is>
      </c>
      <c r="M541" s="2">
        <f>IF(L541="Válido","Sim","Não")</f>
        <v/>
      </c>
      <c r="N541" s="2" t="inlineStr"/>
    </row>
    <row r="542">
      <c r="A542" s="2" t="inlineStr">
        <is>
          <t>3Bracos_3000_R0101_150W_2026-09-30_14_30.csv</t>
        </is>
      </c>
      <c r="B542" s="2" t="inlineStr">
        <is>
          <t>150W_3000RPM_R0101</t>
        </is>
      </c>
      <c r="C542" s="2" t="n">
        <v>150</v>
      </c>
      <c r="D542" s="2" t="n">
        <v>3000</v>
      </c>
      <c r="E542" s="3">
        <f>D542*2/60</f>
        <v/>
      </c>
      <c r="F542" s="2" t="inlineStr">
        <is>
          <t>0101</t>
        </is>
      </c>
      <c r="G542" s="2" t="n">
        <v>3</v>
      </c>
      <c r="H542" s="2">
        <f>INDEX(Parametros!$B$2:$B$9,MATCH(G542,Parametros!$A$2:$A$9,0))</f>
        <v/>
      </c>
      <c r="I542" s="4">
        <f>1/(VALUE(MID(F542,1,1))/Parametros!$E$2+VALUE(MID(F542,2,1))/Parametros!$E$3+VALUE(MID(F542,3,1))/Parametros!$E$4+VALUE(MID(F542,4,1))/Parametros!$E$5)</f>
        <v/>
      </c>
      <c r="J542" s="5">
        <f>IF(G542=0,Parametros!$E$8,Parametros!$E$6+Parametros!$E$6*(Parametros!$E$7/G542+I542)/(Parametros!$E$6+Parametros!$E$7/G542+I542))</f>
        <v/>
      </c>
      <c r="K542" s="2" t="inlineStr">
        <is>
          <t>2026-09-30 14:30</t>
        </is>
      </c>
      <c r="L542" s="6" t="inlineStr">
        <is>
          <t>Válido</t>
        </is>
      </c>
      <c r="M542" s="2">
        <f>IF(L542="Válido","Sim","Não")</f>
        <v/>
      </c>
      <c r="N542" s="2" t="inlineStr"/>
    </row>
    <row r="543">
      <c r="A543" s="2" t="inlineStr">
        <is>
          <t>2Bracos_3000_R0101_150W_2026-09-30_14_30.csv</t>
        </is>
      </c>
      <c r="B543" s="2" t="inlineStr">
        <is>
          <t>150W_3000RPM_R0101</t>
        </is>
      </c>
      <c r="C543" s="2" t="n">
        <v>150</v>
      </c>
      <c r="D543" s="2" t="n">
        <v>3000</v>
      </c>
      <c r="E543" s="3">
        <f>D543*2/60</f>
        <v/>
      </c>
      <c r="F543" s="2" t="inlineStr">
        <is>
          <t>0101</t>
        </is>
      </c>
      <c r="G543" s="2" t="n">
        <v>2</v>
      </c>
      <c r="H543" s="2">
        <f>INDEX(Parametros!$B$2:$B$9,MATCH(G543,Parametros!$A$2:$A$9,0))</f>
        <v/>
      </c>
      <c r="I543" s="4">
        <f>1/(VALUE(MID(F543,1,1))/Parametros!$E$2+VALUE(MID(F543,2,1))/Parametros!$E$3+VALUE(MID(F543,3,1))/Parametros!$E$4+VALUE(MID(F543,4,1))/Parametros!$E$5)</f>
        <v/>
      </c>
      <c r="J543" s="5">
        <f>IF(G543=0,Parametros!$E$8,Parametros!$E$6+Parametros!$E$6*(Parametros!$E$7/G543+I543)/(Parametros!$E$6+Parametros!$E$7/G543+I543))</f>
        <v/>
      </c>
      <c r="K543" s="2" t="inlineStr">
        <is>
          <t>2026-09-30 14:30</t>
        </is>
      </c>
      <c r="L543" s="6" t="inlineStr">
        <is>
          <t>Válido</t>
        </is>
      </c>
      <c r="M543" s="2">
        <f>IF(L543="Válido","Sim","Não")</f>
        <v/>
      </c>
      <c r="N543" s="2" t="inlineStr"/>
    </row>
    <row r="544">
      <c r="A544" s="2" t="inlineStr">
        <is>
          <t>1Bracos_3000_R0101_150W_2026-09-30_14_30.csv</t>
        </is>
      </c>
      <c r="B544" s="2" t="inlineStr">
        <is>
          <t>150W_3000RPM_R0101</t>
        </is>
      </c>
      <c r="C544" s="2" t="n">
        <v>150</v>
      </c>
      <c r="D544" s="2" t="n">
        <v>3000</v>
      </c>
      <c r="E544" s="3">
        <f>D544*2/60</f>
        <v/>
      </c>
      <c r="F544" s="2" t="inlineStr">
        <is>
          <t>0101</t>
        </is>
      </c>
      <c r="G544" s="2" t="n">
        <v>1</v>
      </c>
      <c r="H544" s="2">
        <f>INDEX(Parametros!$B$2:$B$9,MATCH(G544,Parametros!$A$2:$A$9,0))</f>
        <v/>
      </c>
      <c r="I544" s="4">
        <f>1/(VALUE(MID(F544,1,1))/Parametros!$E$2+VALUE(MID(F544,2,1))/Parametros!$E$3+VALUE(MID(F544,3,1))/Parametros!$E$4+VALUE(MID(F544,4,1))/Parametros!$E$5)</f>
        <v/>
      </c>
      <c r="J544" s="5">
        <f>IF(G544=0,Parametros!$E$8,Parametros!$E$6+Parametros!$E$6*(Parametros!$E$7/G544+I544)/(Parametros!$E$6+Parametros!$E$7/G544+I544))</f>
        <v/>
      </c>
      <c r="K544" s="2" t="inlineStr">
        <is>
          <t>2026-09-30 14:30</t>
        </is>
      </c>
      <c r="L544" s="6" t="inlineStr">
        <is>
          <t>Válido</t>
        </is>
      </c>
      <c r="M544" s="2">
        <f>IF(L544="Válido","Sim","Não")</f>
        <v/>
      </c>
      <c r="N544" s="2" t="inlineStr"/>
    </row>
    <row r="545">
      <c r="A545" s="2" t="inlineStr">
        <is>
          <t>0Bracos_3000_R0101_150W_2026-09-30_14_30.csv</t>
        </is>
      </c>
      <c r="B545" s="2" t="inlineStr">
        <is>
          <t>150W_3000RPM_R0101</t>
        </is>
      </c>
      <c r="C545" s="2" t="n">
        <v>150</v>
      </c>
      <c r="D545" s="2" t="n">
        <v>3000</v>
      </c>
      <c r="E545" s="3">
        <f>D545*2/60</f>
        <v/>
      </c>
      <c r="F545" s="2" t="inlineStr">
        <is>
          <t>0101</t>
        </is>
      </c>
      <c r="G545" s="2" t="n">
        <v>0</v>
      </c>
      <c r="H545" s="2">
        <f>INDEX(Parametros!$B$2:$B$9,MATCH(G545,Parametros!$A$2:$A$9,0))</f>
        <v/>
      </c>
      <c r="I545" s="4">
        <f>1/(VALUE(MID(F545,1,1))/Parametros!$E$2+VALUE(MID(F545,2,1))/Parametros!$E$3+VALUE(MID(F545,3,1))/Parametros!$E$4+VALUE(MID(F545,4,1))/Parametros!$E$5)</f>
        <v/>
      </c>
      <c r="J545" s="5">
        <f>IF(G545=0,Parametros!$E$8,Parametros!$E$6+Parametros!$E$6*(Parametros!$E$7/G545+I545)/(Parametros!$E$6+Parametros!$E$7/G545+I545))</f>
        <v/>
      </c>
      <c r="K545" s="2" t="inlineStr">
        <is>
          <t>2026-09-30 14:30</t>
        </is>
      </c>
      <c r="L545" s="6" t="inlineStr">
        <is>
          <t>Válido</t>
        </is>
      </c>
      <c r="M545" s="2">
        <f>IF(L545="Válido","Sim","Não")</f>
        <v/>
      </c>
      <c r="N545" s="2" t="inlineStr"/>
    </row>
    <row r="546">
      <c r="A546" s="2" t="inlineStr">
        <is>
          <t>7Bracos_3000_R0110_150W_2026-09-30_14_30.csv</t>
        </is>
      </c>
      <c r="B546" s="2" t="inlineStr">
        <is>
          <t>150W_3000RPM_R0110</t>
        </is>
      </c>
      <c r="C546" s="2" t="n">
        <v>150</v>
      </c>
      <c r="D546" s="2" t="n">
        <v>3000</v>
      </c>
      <c r="E546" s="3">
        <f>D546*2/60</f>
        <v/>
      </c>
      <c r="F546" s="2" t="inlineStr">
        <is>
          <t>0110</t>
        </is>
      </c>
      <c r="G546" s="2" t="n">
        <v>7</v>
      </c>
      <c r="H546" s="2">
        <f>INDEX(Parametros!$B$2:$B$9,MATCH(G546,Parametros!$A$2:$A$9,0))</f>
        <v/>
      </c>
      <c r="I546" s="4">
        <f>1/(VALUE(MID(F546,1,1))/Parametros!$E$2+VALUE(MID(F546,2,1))/Parametros!$E$3+VALUE(MID(F546,3,1))/Parametros!$E$4+VALUE(MID(F546,4,1))/Parametros!$E$5)</f>
        <v/>
      </c>
      <c r="J546" s="5">
        <f>IF(G546=0,Parametros!$E$8,Parametros!$E$6+Parametros!$E$6*(Parametros!$E$7/G546+I546)/(Parametros!$E$6+Parametros!$E$7/G546+I546))</f>
        <v/>
      </c>
      <c r="K546" s="2" t="inlineStr">
        <is>
          <t>2026-09-30 14:30</t>
        </is>
      </c>
      <c r="L546" s="6" t="inlineStr">
        <is>
          <t>Válido</t>
        </is>
      </c>
      <c r="M546" s="2">
        <f>IF(L546="Válido","Sim","Não")</f>
        <v/>
      </c>
      <c r="N546" s="2" t="inlineStr"/>
    </row>
    <row r="547">
      <c r="A547" s="2" t="inlineStr">
        <is>
          <t>6Bracos_3000_R0110_150W_2026-09-30_14_30.csv</t>
        </is>
      </c>
      <c r="B547" s="2" t="inlineStr">
        <is>
          <t>150W_3000RPM_R0110</t>
        </is>
      </c>
      <c r="C547" s="2" t="n">
        <v>150</v>
      </c>
      <c r="D547" s="2" t="n">
        <v>3000</v>
      </c>
      <c r="E547" s="3">
        <f>D547*2/60</f>
        <v/>
      </c>
      <c r="F547" s="2" t="inlineStr">
        <is>
          <t>0110</t>
        </is>
      </c>
      <c r="G547" s="2" t="n">
        <v>6</v>
      </c>
      <c r="H547" s="2">
        <f>INDEX(Parametros!$B$2:$B$9,MATCH(G547,Parametros!$A$2:$A$9,0))</f>
        <v/>
      </c>
      <c r="I547" s="4">
        <f>1/(VALUE(MID(F547,1,1))/Parametros!$E$2+VALUE(MID(F547,2,1))/Parametros!$E$3+VALUE(MID(F547,3,1))/Parametros!$E$4+VALUE(MID(F547,4,1))/Parametros!$E$5)</f>
        <v/>
      </c>
      <c r="J547" s="5">
        <f>IF(G547=0,Parametros!$E$8,Parametros!$E$6+Parametros!$E$6*(Parametros!$E$7/G547+I547)/(Parametros!$E$6+Parametros!$E$7/G547+I547))</f>
        <v/>
      </c>
      <c r="K547" s="2" t="inlineStr">
        <is>
          <t>2026-09-30 14:30</t>
        </is>
      </c>
      <c r="L547" s="6" t="inlineStr">
        <is>
          <t>Válido</t>
        </is>
      </c>
      <c r="M547" s="2">
        <f>IF(L547="Válido","Sim","Não")</f>
        <v/>
      </c>
      <c r="N547" s="2" t="inlineStr"/>
    </row>
    <row r="548">
      <c r="A548" s="2" t="inlineStr">
        <is>
          <t>5Bracos_3000_R0110_150W_2026-09-30_14_30.csv</t>
        </is>
      </c>
      <c r="B548" s="2" t="inlineStr">
        <is>
          <t>150W_3000RPM_R0110</t>
        </is>
      </c>
      <c r="C548" s="2" t="n">
        <v>150</v>
      </c>
      <c r="D548" s="2" t="n">
        <v>3000</v>
      </c>
      <c r="E548" s="3">
        <f>D548*2/60</f>
        <v/>
      </c>
      <c r="F548" s="2" t="inlineStr">
        <is>
          <t>0110</t>
        </is>
      </c>
      <c r="G548" s="2" t="n">
        <v>5</v>
      </c>
      <c r="H548" s="2">
        <f>INDEX(Parametros!$B$2:$B$9,MATCH(G548,Parametros!$A$2:$A$9,0))</f>
        <v/>
      </c>
      <c r="I548" s="4">
        <f>1/(VALUE(MID(F548,1,1))/Parametros!$E$2+VALUE(MID(F548,2,1))/Parametros!$E$3+VALUE(MID(F548,3,1))/Parametros!$E$4+VALUE(MID(F548,4,1))/Parametros!$E$5)</f>
        <v/>
      </c>
      <c r="J548" s="5">
        <f>IF(G548=0,Parametros!$E$8,Parametros!$E$6+Parametros!$E$6*(Parametros!$E$7/G548+I548)/(Parametros!$E$6+Parametros!$E$7/G548+I548))</f>
        <v/>
      </c>
      <c r="K548" s="2" t="inlineStr">
        <is>
          <t>2026-09-30 14:30</t>
        </is>
      </c>
      <c r="L548" s="6" t="inlineStr">
        <is>
          <t>Válido</t>
        </is>
      </c>
      <c r="M548" s="2">
        <f>IF(L548="Válido","Sim","Não")</f>
        <v/>
      </c>
      <c r="N548" s="2" t="inlineStr"/>
    </row>
    <row r="549">
      <c r="A549" s="2" t="inlineStr">
        <is>
          <t>4Bracos_3000_R0110_150W_2026-09-30_14_30.csv</t>
        </is>
      </c>
      <c r="B549" s="2" t="inlineStr">
        <is>
          <t>150W_3000RPM_R0110</t>
        </is>
      </c>
      <c r="C549" s="2" t="n">
        <v>150</v>
      </c>
      <c r="D549" s="2" t="n">
        <v>3000</v>
      </c>
      <c r="E549" s="3">
        <f>D549*2/60</f>
        <v/>
      </c>
      <c r="F549" s="2" t="inlineStr">
        <is>
          <t>0110</t>
        </is>
      </c>
      <c r="G549" s="2" t="n">
        <v>4</v>
      </c>
      <c r="H549" s="2">
        <f>INDEX(Parametros!$B$2:$B$9,MATCH(G549,Parametros!$A$2:$A$9,0))</f>
        <v/>
      </c>
      <c r="I549" s="4">
        <f>1/(VALUE(MID(F549,1,1))/Parametros!$E$2+VALUE(MID(F549,2,1))/Parametros!$E$3+VALUE(MID(F549,3,1))/Parametros!$E$4+VALUE(MID(F549,4,1))/Parametros!$E$5)</f>
        <v/>
      </c>
      <c r="J549" s="5">
        <f>IF(G549=0,Parametros!$E$8,Parametros!$E$6+Parametros!$E$6*(Parametros!$E$7/G549+I549)/(Parametros!$E$6+Parametros!$E$7/G549+I549))</f>
        <v/>
      </c>
      <c r="K549" s="2" t="inlineStr">
        <is>
          <t>2026-09-30 14:30</t>
        </is>
      </c>
      <c r="L549" s="6" t="inlineStr">
        <is>
          <t>Válido</t>
        </is>
      </c>
      <c r="M549" s="2">
        <f>IF(L549="Válido","Sim","Não")</f>
        <v/>
      </c>
      <c r="N549" s="2" t="inlineStr"/>
    </row>
    <row r="550">
      <c r="A550" s="2" t="inlineStr">
        <is>
          <t>3Bracos_3000_R0110_150W_2026-09-30_14_30.csv</t>
        </is>
      </c>
      <c r="B550" s="2" t="inlineStr">
        <is>
          <t>150W_3000RPM_R0110</t>
        </is>
      </c>
      <c r="C550" s="2" t="n">
        <v>150</v>
      </c>
      <c r="D550" s="2" t="n">
        <v>3000</v>
      </c>
      <c r="E550" s="3">
        <f>D550*2/60</f>
        <v/>
      </c>
      <c r="F550" s="2" t="inlineStr">
        <is>
          <t>0110</t>
        </is>
      </c>
      <c r="G550" s="2" t="n">
        <v>3</v>
      </c>
      <c r="H550" s="2">
        <f>INDEX(Parametros!$B$2:$B$9,MATCH(G550,Parametros!$A$2:$A$9,0))</f>
        <v/>
      </c>
      <c r="I550" s="4">
        <f>1/(VALUE(MID(F550,1,1))/Parametros!$E$2+VALUE(MID(F550,2,1))/Parametros!$E$3+VALUE(MID(F550,3,1))/Parametros!$E$4+VALUE(MID(F550,4,1))/Parametros!$E$5)</f>
        <v/>
      </c>
      <c r="J550" s="5">
        <f>IF(G550=0,Parametros!$E$8,Parametros!$E$6+Parametros!$E$6*(Parametros!$E$7/G550+I550)/(Parametros!$E$6+Parametros!$E$7/G550+I550))</f>
        <v/>
      </c>
      <c r="K550" s="2" t="inlineStr">
        <is>
          <t>2026-09-30 14:30</t>
        </is>
      </c>
      <c r="L550" s="6" t="inlineStr">
        <is>
          <t>Válido</t>
        </is>
      </c>
      <c r="M550" s="2">
        <f>IF(L550="Válido","Sim","Não")</f>
        <v/>
      </c>
      <c r="N550" s="2" t="inlineStr"/>
    </row>
    <row r="551">
      <c r="A551" s="2" t="inlineStr">
        <is>
          <t>2Bracos_3000_R0110_150W_2026-09-30_14_30.csv</t>
        </is>
      </c>
      <c r="B551" s="2" t="inlineStr">
        <is>
          <t>150W_3000RPM_R0110</t>
        </is>
      </c>
      <c r="C551" s="2" t="n">
        <v>150</v>
      </c>
      <c r="D551" s="2" t="n">
        <v>3000</v>
      </c>
      <c r="E551" s="3">
        <f>D551*2/60</f>
        <v/>
      </c>
      <c r="F551" s="2" t="inlineStr">
        <is>
          <t>0110</t>
        </is>
      </c>
      <c r="G551" s="2" t="n">
        <v>2</v>
      </c>
      <c r="H551" s="2">
        <f>INDEX(Parametros!$B$2:$B$9,MATCH(G551,Parametros!$A$2:$A$9,0))</f>
        <v/>
      </c>
      <c r="I551" s="4">
        <f>1/(VALUE(MID(F551,1,1))/Parametros!$E$2+VALUE(MID(F551,2,1))/Parametros!$E$3+VALUE(MID(F551,3,1))/Parametros!$E$4+VALUE(MID(F551,4,1))/Parametros!$E$5)</f>
        <v/>
      </c>
      <c r="J551" s="5">
        <f>IF(G551=0,Parametros!$E$8,Parametros!$E$6+Parametros!$E$6*(Parametros!$E$7/G551+I551)/(Parametros!$E$6+Parametros!$E$7/G551+I551))</f>
        <v/>
      </c>
      <c r="K551" s="2" t="inlineStr">
        <is>
          <t>2026-09-30 14:30</t>
        </is>
      </c>
      <c r="L551" s="6" t="inlineStr">
        <is>
          <t>Válido</t>
        </is>
      </c>
      <c r="M551" s="2">
        <f>IF(L551="Válido","Sim","Não")</f>
        <v/>
      </c>
      <c r="N551" s="2" t="inlineStr"/>
    </row>
    <row r="552">
      <c r="A552" s="2" t="inlineStr">
        <is>
          <t>1Bracos_3000_R0110_150W_2026-09-30_14_30.csv</t>
        </is>
      </c>
      <c r="B552" s="2" t="inlineStr">
        <is>
          <t>150W_3000RPM_R0110</t>
        </is>
      </c>
      <c r="C552" s="2" t="n">
        <v>150</v>
      </c>
      <c r="D552" s="2" t="n">
        <v>3000</v>
      </c>
      <c r="E552" s="3">
        <f>D552*2/60</f>
        <v/>
      </c>
      <c r="F552" s="2" t="inlineStr">
        <is>
          <t>0110</t>
        </is>
      </c>
      <c r="G552" s="2" t="n">
        <v>1</v>
      </c>
      <c r="H552" s="2">
        <f>INDEX(Parametros!$B$2:$B$9,MATCH(G552,Parametros!$A$2:$A$9,0))</f>
        <v/>
      </c>
      <c r="I552" s="4">
        <f>1/(VALUE(MID(F552,1,1))/Parametros!$E$2+VALUE(MID(F552,2,1))/Parametros!$E$3+VALUE(MID(F552,3,1))/Parametros!$E$4+VALUE(MID(F552,4,1))/Parametros!$E$5)</f>
        <v/>
      </c>
      <c r="J552" s="5">
        <f>IF(G552=0,Parametros!$E$8,Parametros!$E$6+Parametros!$E$6*(Parametros!$E$7/G552+I552)/(Parametros!$E$6+Parametros!$E$7/G552+I552))</f>
        <v/>
      </c>
      <c r="K552" s="2" t="inlineStr">
        <is>
          <t>2026-09-30 14:30</t>
        </is>
      </c>
      <c r="L552" s="6" t="inlineStr">
        <is>
          <t>Válido</t>
        </is>
      </c>
      <c r="M552" s="2">
        <f>IF(L552="Válido","Sim","Não")</f>
        <v/>
      </c>
      <c r="N552" s="2" t="inlineStr"/>
    </row>
    <row r="553">
      <c r="A553" s="2" t="inlineStr">
        <is>
          <t>0Bracos_3000_R0110_150W_2026-09-30_14_30.csv</t>
        </is>
      </c>
      <c r="B553" s="2" t="inlineStr">
        <is>
          <t>150W_3000RPM_R0110</t>
        </is>
      </c>
      <c r="C553" s="2" t="n">
        <v>150</v>
      </c>
      <c r="D553" s="2" t="n">
        <v>3000</v>
      </c>
      <c r="E553" s="3">
        <f>D553*2/60</f>
        <v/>
      </c>
      <c r="F553" s="2" t="inlineStr">
        <is>
          <t>0110</t>
        </is>
      </c>
      <c r="G553" s="2" t="n">
        <v>0</v>
      </c>
      <c r="H553" s="2">
        <f>INDEX(Parametros!$B$2:$B$9,MATCH(G553,Parametros!$A$2:$A$9,0))</f>
        <v/>
      </c>
      <c r="I553" s="4">
        <f>1/(VALUE(MID(F553,1,1))/Parametros!$E$2+VALUE(MID(F553,2,1))/Parametros!$E$3+VALUE(MID(F553,3,1))/Parametros!$E$4+VALUE(MID(F553,4,1))/Parametros!$E$5)</f>
        <v/>
      </c>
      <c r="J553" s="5">
        <f>IF(G553=0,Parametros!$E$8,Parametros!$E$6+Parametros!$E$6*(Parametros!$E$7/G553+I553)/(Parametros!$E$6+Parametros!$E$7/G553+I553))</f>
        <v/>
      </c>
      <c r="K553" s="2" t="inlineStr">
        <is>
          <t>2026-09-30 14:30</t>
        </is>
      </c>
      <c r="L553" s="6" t="inlineStr">
        <is>
          <t>Válido</t>
        </is>
      </c>
      <c r="M553" s="2">
        <f>IF(L553="Válido","Sim","Não")</f>
        <v/>
      </c>
      <c r="N553" s="2" t="inlineStr"/>
    </row>
    <row r="554">
      <c r="A554" s="2" t="inlineStr">
        <is>
          <t>7Bracos_3000_R0111_150W_2026-09-30_14_30.csv</t>
        </is>
      </c>
      <c r="B554" s="2" t="inlineStr">
        <is>
          <t>150W_3000RPM_R0111</t>
        </is>
      </c>
      <c r="C554" s="2" t="n">
        <v>150</v>
      </c>
      <c r="D554" s="2" t="n">
        <v>3000</v>
      </c>
      <c r="E554" s="3">
        <f>D554*2/60</f>
        <v/>
      </c>
      <c r="F554" s="2" t="inlineStr">
        <is>
          <t>0111</t>
        </is>
      </c>
      <c r="G554" s="2" t="n">
        <v>7</v>
      </c>
      <c r="H554" s="2">
        <f>INDEX(Parametros!$B$2:$B$9,MATCH(G554,Parametros!$A$2:$A$9,0))</f>
        <v/>
      </c>
      <c r="I554" s="4">
        <f>1/(VALUE(MID(F554,1,1))/Parametros!$E$2+VALUE(MID(F554,2,1))/Parametros!$E$3+VALUE(MID(F554,3,1))/Parametros!$E$4+VALUE(MID(F554,4,1))/Parametros!$E$5)</f>
        <v/>
      </c>
      <c r="J554" s="5">
        <f>IF(G554=0,Parametros!$E$8,Parametros!$E$6+Parametros!$E$6*(Parametros!$E$7/G554+I554)/(Parametros!$E$6+Parametros!$E$7/G554+I554))</f>
        <v/>
      </c>
      <c r="K554" s="2" t="inlineStr">
        <is>
          <t>2026-09-30 14:30</t>
        </is>
      </c>
      <c r="L554" s="6" t="inlineStr">
        <is>
          <t>Válido</t>
        </is>
      </c>
      <c r="M554" s="2">
        <f>IF(L554="Válido","Sim","Não")</f>
        <v/>
      </c>
      <c r="N554" s="2" t="inlineStr"/>
    </row>
    <row r="555">
      <c r="A555" s="2" t="inlineStr">
        <is>
          <t>6Bracos_3000_R0111_150W_2026-09-30_14_30.csv</t>
        </is>
      </c>
      <c r="B555" s="2" t="inlineStr">
        <is>
          <t>150W_3000RPM_R0111</t>
        </is>
      </c>
      <c r="C555" s="2" t="n">
        <v>150</v>
      </c>
      <c r="D555" s="2" t="n">
        <v>3000</v>
      </c>
      <c r="E555" s="3">
        <f>D555*2/60</f>
        <v/>
      </c>
      <c r="F555" s="2" t="inlineStr">
        <is>
          <t>0111</t>
        </is>
      </c>
      <c r="G555" s="2" t="n">
        <v>6</v>
      </c>
      <c r="H555" s="2">
        <f>INDEX(Parametros!$B$2:$B$9,MATCH(G555,Parametros!$A$2:$A$9,0))</f>
        <v/>
      </c>
      <c r="I555" s="4">
        <f>1/(VALUE(MID(F555,1,1))/Parametros!$E$2+VALUE(MID(F555,2,1))/Parametros!$E$3+VALUE(MID(F555,3,1))/Parametros!$E$4+VALUE(MID(F555,4,1))/Parametros!$E$5)</f>
        <v/>
      </c>
      <c r="J555" s="5">
        <f>IF(G555=0,Parametros!$E$8,Parametros!$E$6+Parametros!$E$6*(Parametros!$E$7/G555+I555)/(Parametros!$E$6+Parametros!$E$7/G555+I555))</f>
        <v/>
      </c>
      <c r="K555" s="2" t="inlineStr">
        <is>
          <t>2026-09-30 14:30</t>
        </is>
      </c>
      <c r="L555" s="6" t="inlineStr">
        <is>
          <t>Válido</t>
        </is>
      </c>
      <c r="M555" s="2">
        <f>IF(L555="Válido","Sim","Não")</f>
        <v/>
      </c>
      <c r="N555" s="2" t="inlineStr"/>
    </row>
    <row r="556">
      <c r="A556" s="2" t="inlineStr">
        <is>
          <t>5Bracos_3000_R0111_150W_2026-09-30_14_30.csv</t>
        </is>
      </c>
      <c r="B556" s="2" t="inlineStr">
        <is>
          <t>150W_3000RPM_R0111</t>
        </is>
      </c>
      <c r="C556" s="2" t="n">
        <v>150</v>
      </c>
      <c r="D556" s="2" t="n">
        <v>3000</v>
      </c>
      <c r="E556" s="3">
        <f>D556*2/60</f>
        <v/>
      </c>
      <c r="F556" s="2" t="inlineStr">
        <is>
          <t>0111</t>
        </is>
      </c>
      <c r="G556" s="2" t="n">
        <v>5</v>
      </c>
      <c r="H556" s="2">
        <f>INDEX(Parametros!$B$2:$B$9,MATCH(G556,Parametros!$A$2:$A$9,0))</f>
        <v/>
      </c>
      <c r="I556" s="4">
        <f>1/(VALUE(MID(F556,1,1))/Parametros!$E$2+VALUE(MID(F556,2,1))/Parametros!$E$3+VALUE(MID(F556,3,1))/Parametros!$E$4+VALUE(MID(F556,4,1))/Parametros!$E$5)</f>
        <v/>
      </c>
      <c r="J556" s="5">
        <f>IF(G556=0,Parametros!$E$8,Parametros!$E$6+Parametros!$E$6*(Parametros!$E$7/G556+I556)/(Parametros!$E$6+Parametros!$E$7/G556+I556))</f>
        <v/>
      </c>
      <c r="K556" s="2" t="inlineStr">
        <is>
          <t>2026-09-30 14:30</t>
        </is>
      </c>
      <c r="L556" s="6" t="inlineStr">
        <is>
          <t>Válido</t>
        </is>
      </c>
      <c r="M556" s="2">
        <f>IF(L556="Válido","Sim","Não")</f>
        <v/>
      </c>
      <c r="N556" s="2" t="inlineStr"/>
    </row>
    <row r="557">
      <c r="A557" s="2" t="inlineStr">
        <is>
          <t>4Bracos_3000_R0111_150W_2026-09-30_14_30.csv</t>
        </is>
      </c>
      <c r="B557" s="2" t="inlineStr">
        <is>
          <t>150W_3000RPM_R0111</t>
        </is>
      </c>
      <c r="C557" s="2" t="n">
        <v>150</v>
      </c>
      <c r="D557" s="2" t="n">
        <v>3000</v>
      </c>
      <c r="E557" s="3">
        <f>D557*2/60</f>
        <v/>
      </c>
      <c r="F557" s="2" t="inlineStr">
        <is>
          <t>0111</t>
        </is>
      </c>
      <c r="G557" s="2" t="n">
        <v>4</v>
      </c>
      <c r="H557" s="2">
        <f>INDEX(Parametros!$B$2:$B$9,MATCH(G557,Parametros!$A$2:$A$9,0))</f>
        <v/>
      </c>
      <c r="I557" s="4">
        <f>1/(VALUE(MID(F557,1,1))/Parametros!$E$2+VALUE(MID(F557,2,1))/Parametros!$E$3+VALUE(MID(F557,3,1))/Parametros!$E$4+VALUE(MID(F557,4,1))/Parametros!$E$5)</f>
        <v/>
      </c>
      <c r="J557" s="5">
        <f>IF(G557=0,Parametros!$E$8,Parametros!$E$6+Parametros!$E$6*(Parametros!$E$7/G557+I557)/(Parametros!$E$6+Parametros!$E$7/G557+I557))</f>
        <v/>
      </c>
      <c r="K557" s="2" t="inlineStr">
        <is>
          <t>2026-09-30 14:30</t>
        </is>
      </c>
      <c r="L557" s="6" t="inlineStr">
        <is>
          <t>Válido</t>
        </is>
      </c>
      <c r="M557" s="2">
        <f>IF(L557="Válido","Sim","Não")</f>
        <v/>
      </c>
      <c r="N557" s="2" t="inlineStr"/>
    </row>
    <row r="558">
      <c r="A558" s="2" t="inlineStr">
        <is>
          <t>3Bracos_3000_R0111_150W_2026-09-30_14_30.csv</t>
        </is>
      </c>
      <c r="B558" s="2" t="inlineStr">
        <is>
          <t>150W_3000RPM_R0111</t>
        </is>
      </c>
      <c r="C558" s="2" t="n">
        <v>150</v>
      </c>
      <c r="D558" s="2" t="n">
        <v>3000</v>
      </c>
      <c r="E558" s="3">
        <f>D558*2/60</f>
        <v/>
      </c>
      <c r="F558" s="2" t="inlineStr">
        <is>
          <t>0111</t>
        </is>
      </c>
      <c r="G558" s="2" t="n">
        <v>3</v>
      </c>
      <c r="H558" s="2">
        <f>INDEX(Parametros!$B$2:$B$9,MATCH(G558,Parametros!$A$2:$A$9,0))</f>
        <v/>
      </c>
      <c r="I558" s="4">
        <f>1/(VALUE(MID(F558,1,1))/Parametros!$E$2+VALUE(MID(F558,2,1))/Parametros!$E$3+VALUE(MID(F558,3,1))/Parametros!$E$4+VALUE(MID(F558,4,1))/Parametros!$E$5)</f>
        <v/>
      </c>
      <c r="J558" s="5">
        <f>IF(G558=0,Parametros!$E$8,Parametros!$E$6+Parametros!$E$6*(Parametros!$E$7/G558+I558)/(Parametros!$E$6+Parametros!$E$7/G558+I558))</f>
        <v/>
      </c>
      <c r="K558" s="2" t="inlineStr">
        <is>
          <t>2026-09-30 14:30</t>
        </is>
      </c>
      <c r="L558" s="6" t="inlineStr">
        <is>
          <t>Válido</t>
        </is>
      </c>
      <c r="M558" s="2">
        <f>IF(L558="Válido","Sim","Não")</f>
        <v/>
      </c>
      <c r="N558" s="2" t="inlineStr"/>
    </row>
    <row r="559">
      <c r="A559" s="2" t="inlineStr">
        <is>
          <t>2Bracos_3000_R0111_150W_2026-09-30_14_30.csv</t>
        </is>
      </c>
      <c r="B559" s="2" t="inlineStr">
        <is>
          <t>150W_3000RPM_R0111</t>
        </is>
      </c>
      <c r="C559" s="2" t="n">
        <v>150</v>
      </c>
      <c r="D559" s="2" t="n">
        <v>3000</v>
      </c>
      <c r="E559" s="3">
        <f>D559*2/60</f>
        <v/>
      </c>
      <c r="F559" s="2" t="inlineStr">
        <is>
          <t>0111</t>
        </is>
      </c>
      <c r="G559" s="2" t="n">
        <v>2</v>
      </c>
      <c r="H559" s="2">
        <f>INDEX(Parametros!$B$2:$B$9,MATCH(G559,Parametros!$A$2:$A$9,0))</f>
        <v/>
      </c>
      <c r="I559" s="4">
        <f>1/(VALUE(MID(F559,1,1))/Parametros!$E$2+VALUE(MID(F559,2,1))/Parametros!$E$3+VALUE(MID(F559,3,1))/Parametros!$E$4+VALUE(MID(F559,4,1))/Parametros!$E$5)</f>
        <v/>
      </c>
      <c r="J559" s="5">
        <f>IF(G559=0,Parametros!$E$8,Parametros!$E$6+Parametros!$E$6*(Parametros!$E$7/G559+I559)/(Parametros!$E$6+Parametros!$E$7/G559+I559))</f>
        <v/>
      </c>
      <c r="K559" s="2" t="inlineStr">
        <is>
          <t>2026-09-30 14:30</t>
        </is>
      </c>
      <c r="L559" s="6" t="inlineStr">
        <is>
          <t>Válido</t>
        </is>
      </c>
      <c r="M559" s="2">
        <f>IF(L559="Válido","Sim","Não")</f>
        <v/>
      </c>
      <c r="N559" s="2" t="inlineStr"/>
    </row>
    <row r="560">
      <c r="A560" s="2" t="inlineStr">
        <is>
          <t>1Bracos_3000_R0111_150W_2026-09-30_14_30.csv</t>
        </is>
      </c>
      <c r="B560" s="2" t="inlineStr">
        <is>
          <t>150W_3000RPM_R0111</t>
        </is>
      </c>
      <c r="C560" s="2" t="n">
        <v>150</v>
      </c>
      <c r="D560" s="2" t="n">
        <v>3000</v>
      </c>
      <c r="E560" s="3">
        <f>D560*2/60</f>
        <v/>
      </c>
      <c r="F560" s="2" t="inlineStr">
        <is>
          <t>0111</t>
        </is>
      </c>
      <c r="G560" s="2" t="n">
        <v>1</v>
      </c>
      <c r="H560" s="2">
        <f>INDEX(Parametros!$B$2:$B$9,MATCH(G560,Parametros!$A$2:$A$9,0))</f>
        <v/>
      </c>
      <c r="I560" s="4">
        <f>1/(VALUE(MID(F560,1,1))/Parametros!$E$2+VALUE(MID(F560,2,1))/Parametros!$E$3+VALUE(MID(F560,3,1))/Parametros!$E$4+VALUE(MID(F560,4,1))/Parametros!$E$5)</f>
        <v/>
      </c>
      <c r="J560" s="5">
        <f>IF(G560=0,Parametros!$E$8,Parametros!$E$6+Parametros!$E$6*(Parametros!$E$7/G560+I560)/(Parametros!$E$6+Parametros!$E$7/G560+I560))</f>
        <v/>
      </c>
      <c r="K560" s="2" t="inlineStr">
        <is>
          <t>2026-09-30 14:30</t>
        </is>
      </c>
      <c r="L560" s="6" t="inlineStr">
        <is>
          <t>Válido</t>
        </is>
      </c>
      <c r="M560" s="2">
        <f>IF(L560="Válido","Sim","Não")</f>
        <v/>
      </c>
      <c r="N560" s="2" t="inlineStr"/>
    </row>
    <row r="561">
      <c r="A561" s="2" t="inlineStr">
        <is>
          <t>0Bracos_3000_R0111_150W_2026-09-30_14_30.csv</t>
        </is>
      </c>
      <c r="B561" s="2" t="inlineStr">
        <is>
          <t>150W_3000RPM_R0111</t>
        </is>
      </c>
      <c r="C561" s="2" t="n">
        <v>150</v>
      </c>
      <c r="D561" s="2" t="n">
        <v>3000</v>
      </c>
      <c r="E561" s="3">
        <f>D561*2/60</f>
        <v/>
      </c>
      <c r="F561" s="2" t="inlineStr">
        <is>
          <t>0111</t>
        </is>
      </c>
      <c r="G561" s="2" t="n">
        <v>0</v>
      </c>
      <c r="H561" s="2">
        <f>INDEX(Parametros!$B$2:$B$9,MATCH(G561,Parametros!$A$2:$A$9,0))</f>
        <v/>
      </c>
      <c r="I561" s="4">
        <f>1/(VALUE(MID(F561,1,1))/Parametros!$E$2+VALUE(MID(F561,2,1))/Parametros!$E$3+VALUE(MID(F561,3,1))/Parametros!$E$4+VALUE(MID(F561,4,1))/Parametros!$E$5)</f>
        <v/>
      </c>
      <c r="J561" s="5">
        <f>IF(G561=0,Parametros!$E$8,Parametros!$E$6+Parametros!$E$6*(Parametros!$E$7/G561+I561)/(Parametros!$E$6+Parametros!$E$7/G561+I561))</f>
        <v/>
      </c>
      <c r="K561" s="2" t="inlineStr">
        <is>
          <t>2026-09-30 14:30</t>
        </is>
      </c>
      <c r="L561" s="6" t="inlineStr">
        <is>
          <t>Válido</t>
        </is>
      </c>
      <c r="M561" s="2">
        <f>IF(L561="Válido","Sim","Não")</f>
        <v/>
      </c>
      <c r="N561" s="2" t="inlineStr"/>
    </row>
    <row r="562">
      <c r="A562" s="2" t="inlineStr">
        <is>
          <t>7Bracos_3000_R1000_150W_2026-09-30_14_30.csv</t>
        </is>
      </c>
      <c r="B562" s="2" t="inlineStr">
        <is>
          <t>150W_3000RPM_R1000</t>
        </is>
      </c>
      <c r="C562" s="2" t="n">
        <v>150</v>
      </c>
      <c r="D562" s="2" t="n">
        <v>3000</v>
      </c>
      <c r="E562" s="3">
        <f>D562*2/60</f>
        <v/>
      </c>
      <c r="F562" s="2" t="inlineStr">
        <is>
          <t>1000</t>
        </is>
      </c>
      <c r="G562" s="2" t="n">
        <v>7</v>
      </c>
      <c r="H562" s="2">
        <f>INDEX(Parametros!$B$2:$B$9,MATCH(G562,Parametros!$A$2:$A$9,0))</f>
        <v/>
      </c>
      <c r="I562" s="4">
        <f>1/(VALUE(MID(F562,1,1))/Parametros!$E$2+VALUE(MID(F562,2,1))/Parametros!$E$3+VALUE(MID(F562,3,1))/Parametros!$E$4+VALUE(MID(F562,4,1))/Parametros!$E$5)</f>
        <v/>
      </c>
      <c r="J562" s="5">
        <f>IF(G562=0,Parametros!$E$8,Parametros!$E$6+Parametros!$E$6*(Parametros!$E$7/G562+I562)/(Parametros!$E$6+Parametros!$E$7/G562+I562))</f>
        <v/>
      </c>
      <c r="K562" s="2" t="inlineStr">
        <is>
          <t>2026-09-30 14:30</t>
        </is>
      </c>
      <c r="L562" s="6" t="inlineStr">
        <is>
          <t>Válido</t>
        </is>
      </c>
      <c r="M562" s="2">
        <f>IF(L562="Válido","Sim","Não")</f>
        <v/>
      </c>
      <c r="N562" s="2" t="inlineStr"/>
    </row>
    <row r="563">
      <c r="A563" s="2" t="inlineStr">
        <is>
          <t>6Bracos_3000_R1000_150W_2026-09-30_14_30.csv</t>
        </is>
      </c>
      <c r="B563" s="2" t="inlineStr">
        <is>
          <t>150W_3000RPM_R1000</t>
        </is>
      </c>
      <c r="C563" s="2" t="n">
        <v>150</v>
      </c>
      <c r="D563" s="2" t="n">
        <v>3000</v>
      </c>
      <c r="E563" s="3">
        <f>D563*2/60</f>
        <v/>
      </c>
      <c r="F563" s="2" t="inlineStr">
        <is>
          <t>1000</t>
        </is>
      </c>
      <c r="G563" s="2" t="n">
        <v>6</v>
      </c>
      <c r="H563" s="2">
        <f>INDEX(Parametros!$B$2:$B$9,MATCH(G563,Parametros!$A$2:$A$9,0))</f>
        <v/>
      </c>
      <c r="I563" s="4">
        <f>1/(VALUE(MID(F563,1,1))/Parametros!$E$2+VALUE(MID(F563,2,1))/Parametros!$E$3+VALUE(MID(F563,3,1))/Parametros!$E$4+VALUE(MID(F563,4,1))/Parametros!$E$5)</f>
        <v/>
      </c>
      <c r="J563" s="5">
        <f>IF(G563=0,Parametros!$E$8,Parametros!$E$6+Parametros!$E$6*(Parametros!$E$7/G563+I563)/(Parametros!$E$6+Parametros!$E$7/G563+I563))</f>
        <v/>
      </c>
      <c r="K563" s="2" t="inlineStr">
        <is>
          <t>2026-09-30 14:30</t>
        </is>
      </c>
      <c r="L563" s="6" t="inlineStr">
        <is>
          <t>Válido</t>
        </is>
      </c>
      <c r="M563" s="2">
        <f>IF(L563="Válido","Sim","Não")</f>
        <v/>
      </c>
      <c r="N563" s="2" t="inlineStr"/>
    </row>
    <row r="564">
      <c r="A564" s="2" t="inlineStr">
        <is>
          <t>5Bracos_3000_R1000_150W_2026-09-30_14_30.csv</t>
        </is>
      </c>
      <c r="B564" s="2" t="inlineStr">
        <is>
          <t>150W_3000RPM_R1000</t>
        </is>
      </c>
      <c r="C564" s="2" t="n">
        <v>150</v>
      </c>
      <c r="D564" s="2" t="n">
        <v>3000</v>
      </c>
      <c r="E564" s="3">
        <f>D564*2/60</f>
        <v/>
      </c>
      <c r="F564" s="2" t="inlineStr">
        <is>
          <t>1000</t>
        </is>
      </c>
      <c r="G564" s="2" t="n">
        <v>5</v>
      </c>
      <c r="H564" s="2">
        <f>INDEX(Parametros!$B$2:$B$9,MATCH(G564,Parametros!$A$2:$A$9,0))</f>
        <v/>
      </c>
      <c r="I564" s="4">
        <f>1/(VALUE(MID(F564,1,1))/Parametros!$E$2+VALUE(MID(F564,2,1))/Parametros!$E$3+VALUE(MID(F564,3,1))/Parametros!$E$4+VALUE(MID(F564,4,1))/Parametros!$E$5)</f>
        <v/>
      </c>
      <c r="J564" s="5">
        <f>IF(G564=0,Parametros!$E$8,Parametros!$E$6+Parametros!$E$6*(Parametros!$E$7/G564+I564)/(Parametros!$E$6+Parametros!$E$7/G564+I564))</f>
        <v/>
      </c>
      <c r="K564" s="2" t="inlineStr">
        <is>
          <t>2026-09-30 14:30</t>
        </is>
      </c>
      <c r="L564" s="6" t="inlineStr">
        <is>
          <t>Válido</t>
        </is>
      </c>
      <c r="M564" s="2">
        <f>IF(L564="Válido","Sim","Não")</f>
        <v/>
      </c>
      <c r="N564" s="2" t="inlineStr"/>
    </row>
    <row r="565">
      <c r="A565" s="2" t="inlineStr">
        <is>
          <t>4Bracos_3000_R1000_150W_2026-09-30_14_30.csv</t>
        </is>
      </c>
      <c r="B565" s="2" t="inlineStr">
        <is>
          <t>150W_3000RPM_R1000</t>
        </is>
      </c>
      <c r="C565" s="2" t="n">
        <v>150</v>
      </c>
      <c r="D565" s="2" t="n">
        <v>3000</v>
      </c>
      <c r="E565" s="3">
        <f>D565*2/60</f>
        <v/>
      </c>
      <c r="F565" s="2" t="inlineStr">
        <is>
          <t>1000</t>
        </is>
      </c>
      <c r="G565" s="2" t="n">
        <v>4</v>
      </c>
      <c r="H565" s="2">
        <f>INDEX(Parametros!$B$2:$B$9,MATCH(G565,Parametros!$A$2:$A$9,0))</f>
        <v/>
      </c>
      <c r="I565" s="4">
        <f>1/(VALUE(MID(F565,1,1))/Parametros!$E$2+VALUE(MID(F565,2,1))/Parametros!$E$3+VALUE(MID(F565,3,1))/Parametros!$E$4+VALUE(MID(F565,4,1))/Parametros!$E$5)</f>
        <v/>
      </c>
      <c r="J565" s="5">
        <f>IF(G565=0,Parametros!$E$8,Parametros!$E$6+Parametros!$E$6*(Parametros!$E$7/G565+I565)/(Parametros!$E$6+Parametros!$E$7/G565+I565))</f>
        <v/>
      </c>
      <c r="K565" s="2" t="inlineStr">
        <is>
          <t>2026-09-30 14:30</t>
        </is>
      </c>
      <c r="L565" s="6" t="inlineStr">
        <is>
          <t>Válido</t>
        </is>
      </c>
      <c r="M565" s="2">
        <f>IF(L565="Válido","Sim","Não")</f>
        <v/>
      </c>
      <c r="N565" s="2" t="inlineStr"/>
    </row>
    <row r="566">
      <c r="A566" s="2" t="inlineStr">
        <is>
          <t>3Bracos_3000_R1000_150W_2026-09-30_14_30.csv</t>
        </is>
      </c>
      <c r="B566" s="2" t="inlineStr">
        <is>
          <t>150W_3000RPM_R1000</t>
        </is>
      </c>
      <c r="C566" s="2" t="n">
        <v>150</v>
      </c>
      <c r="D566" s="2" t="n">
        <v>3000</v>
      </c>
      <c r="E566" s="3">
        <f>D566*2/60</f>
        <v/>
      </c>
      <c r="F566" s="2" t="inlineStr">
        <is>
          <t>1000</t>
        </is>
      </c>
      <c r="G566" s="2" t="n">
        <v>3</v>
      </c>
      <c r="H566" s="2">
        <f>INDEX(Parametros!$B$2:$B$9,MATCH(G566,Parametros!$A$2:$A$9,0))</f>
        <v/>
      </c>
      <c r="I566" s="4">
        <f>1/(VALUE(MID(F566,1,1))/Parametros!$E$2+VALUE(MID(F566,2,1))/Parametros!$E$3+VALUE(MID(F566,3,1))/Parametros!$E$4+VALUE(MID(F566,4,1))/Parametros!$E$5)</f>
        <v/>
      </c>
      <c r="J566" s="5">
        <f>IF(G566=0,Parametros!$E$8,Parametros!$E$6+Parametros!$E$6*(Parametros!$E$7/G566+I566)/(Parametros!$E$6+Parametros!$E$7/G566+I566))</f>
        <v/>
      </c>
      <c r="K566" s="2" t="inlineStr">
        <is>
          <t>2026-09-30 14:30</t>
        </is>
      </c>
      <c r="L566" s="6" t="inlineStr">
        <is>
          <t>Válido</t>
        </is>
      </c>
      <c r="M566" s="2">
        <f>IF(L566="Válido","Sim","Não")</f>
        <v/>
      </c>
      <c r="N566" s="2" t="inlineStr"/>
    </row>
    <row r="567">
      <c r="A567" s="2" t="inlineStr">
        <is>
          <t>2Bracos_3000_R1000_150W_2026-09-30_14_30.csv</t>
        </is>
      </c>
      <c r="B567" s="2" t="inlineStr">
        <is>
          <t>150W_3000RPM_R1000</t>
        </is>
      </c>
      <c r="C567" s="2" t="n">
        <v>150</v>
      </c>
      <c r="D567" s="2" t="n">
        <v>3000</v>
      </c>
      <c r="E567" s="3">
        <f>D567*2/60</f>
        <v/>
      </c>
      <c r="F567" s="2" t="inlineStr">
        <is>
          <t>1000</t>
        </is>
      </c>
      <c r="G567" s="2" t="n">
        <v>2</v>
      </c>
      <c r="H567" s="2">
        <f>INDEX(Parametros!$B$2:$B$9,MATCH(G567,Parametros!$A$2:$A$9,0))</f>
        <v/>
      </c>
      <c r="I567" s="4">
        <f>1/(VALUE(MID(F567,1,1))/Parametros!$E$2+VALUE(MID(F567,2,1))/Parametros!$E$3+VALUE(MID(F567,3,1))/Parametros!$E$4+VALUE(MID(F567,4,1))/Parametros!$E$5)</f>
        <v/>
      </c>
      <c r="J567" s="5">
        <f>IF(G567=0,Parametros!$E$8,Parametros!$E$6+Parametros!$E$6*(Parametros!$E$7/G567+I567)/(Parametros!$E$6+Parametros!$E$7/G567+I567))</f>
        <v/>
      </c>
      <c r="K567" s="2" t="inlineStr">
        <is>
          <t>2026-09-30 14:30</t>
        </is>
      </c>
      <c r="L567" s="6" t="inlineStr">
        <is>
          <t>Válido</t>
        </is>
      </c>
      <c r="M567" s="2">
        <f>IF(L567="Válido","Sim","Não")</f>
        <v/>
      </c>
      <c r="N567" s="2" t="inlineStr"/>
    </row>
    <row r="568">
      <c r="A568" s="2" t="inlineStr">
        <is>
          <t>1Bracos_3000_R1000_150W_2026-09-30_14_30.csv</t>
        </is>
      </c>
      <c r="B568" s="2" t="inlineStr">
        <is>
          <t>150W_3000RPM_R1000</t>
        </is>
      </c>
      <c r="C568" s="2" t="n">
        <v>150</v>
      </c>
      <c r="D568" s="2" t="n">
        <v>3000</v>
      </c>
      <c r="E568" s="3">
        <f>D568*2/60</f>
        <v/>
      </c>
      <c r="F568" s="2" t="inlineStr">
        <is>
          <t>1000</t>
        </is>
      </c>
      <c r="G568" s="2" t="n">
        <v>1</v>
      </c>
      <c r="H568" s="2">
        <f>INDEX(Parametros!$B$2:$B$9,MATCH(G568,Parametros!$A$2:$A$9,0))</f>
        <v/>
      </c>
      <c r="I568" s="4">
        <f>1/(VALUE(MID(F568,1,1))/Parametros!$E$2+VALUE(MID(F568,2,1))/Parametros!$E$3+VALUE(MID(F568,3,1))/Parametros!$E$4+VALUE(MID(F568,4,1))/Parametros!$E$5)</f>
        <v/>
      </c>
      <c r="J568" s="5">
        <f>IF(G568=0,Parametros!$E$8,Parametros!$E$6+Parametros!$E$6*(Parametros!$E$7/G568+I568)/(Parametros!$E$6+Parametros!$E$7/G568+I568))</f>
        <v/>
      </c>
      <c r="K568" s="2" t="inlineStr">
        <is>
          <t>2026-09-30 14:30</t>
        </is>
      </c>
      <c r="L568" s="6" t="inlineStr">
        <is>
          <t>Válido</t>
        </is>
      </c>
      <c r="M568" s="2">
        <f>IF(L568="Válido","Sim","Não")</f>
        <v/>
      </c>
      <c r="N568" s="2" t="inlineStr"/>
    </row>
    <row r="569">
      <c r="A569" s="2" t="inlineStr">
        <is>
          <t>0Bracos_3000_R1000_150W_2026-09-30_14_30.csv</t>
        </is>
      </c>
      <c r="B569" s="2" t="inlineStr">
        <is>
          <t>150W_3000RPM_R1000</t>
        </is>
      </c>
      <c r="C569" s="2" t="n">
        <v>150</v>
      </c>
      <c r="D569" s="2" t="n">
        <v>3000</v>
      </c>
      <c r="E569" s="3">
        <f>D569*2/60</f>
        <v/>
      </c>
      <c r="F569" s="2" t="inlineStr">
        <is>
          <t>1000</t>
        </is>
      </c>
      <c r="G569" s="2" t="n">
        <v>0</v>
      </c>
      <c r="H569" s="2">
        <f>INDEX(Parametros!$B$2:$B$9,MATCH(G569,Parametros!$A$2:$A$9,0))</f>
        <v/>
      </c>
      <c r="I569" s="4">
        <f>1/(VALUE(MID(F569,1,1))/Parametros!$E$2+VALUE(MID(F569,2,1))/Parametros!$E$3+VALUE(MID(F569,3,1))/Parametros!$E$4+VALUE(MID(F569,4,1))/Parametros!$E$5)</f>
        <v/>
      </c>
      <c r="J569" s="5">
        <f>IF(G569=0,Parametros!$E$8,Parametros!$E$6+Parametros!$E$6*(Parametros!$E$7/G569+I569)/(Parametros!$E$6+Parametros!$E$7/G569+I569))</f>
        <v/>
      </c>
      <c r="K569" s="2" t="inlineStr">
        <is>
          <t>2026-09-30 14:30</t>
        </is>
      </c>
      <c r="L569" s="6" t="inlineStr">
        <is>
          <t>Válido</t>
        </is>
      </c>
      <c r="M569" s="2">
        <f>IF(L569="Válido","Sim","Não")</f>
        <v/>
      </c>
      <c r="N569" s="2" t="inlineStr"/>
    </row>
    <row r="570">
      <c r="A570" s="2" t="inlineStr">
        <is>
          <t>7Bracos_3000_R1001_150W_2026-09-30_14_30.csv</t>
        </is>
      </c>
      <c r="B570" s="2" t="inlineStr">
        <is>
          <t>150W_3000RPM_R1001</t>
        </is>
      </c>
      <c r="C570" s="2" t="n">
        <v>150</v>
      </c>
      <c r="D570" s="2" t="n">
        <v>3000</v>
      </c>
      <c r="E570" s="3">
        <f>D570*2/60</f>
        <v/>
      </c>
      <c r="F570" s="2" t="inlineStr">
        <is>
          <t>1001</t>
        </is>
      </c>
      <c r="G570" s="2" t="n">
        <v>7</v>
      </c>
      <c r="H570" s="2">
        <f>INDEX(Parametros!$B$2:$B$9,MATCH(G570,Parametros!$A$2:$A$9,0))</f>
        <v/>
      </c>
      <c r="I570" s="4">
        <f>1/(VALUE(MID(F570,1,1))/Parametros!$E$2+VALUE(MID(F570,2,1))/Parametros!$E$3+VALUE(MID(F570,3,1))/Parametros!$E$4+VALUE(MID(F570,4,1))/Parametros!$E$5)</f>
        <v/>
      </c>
      <c r="J570" s="5">
        <f>IF(G570=0,Parametros!$E$8,Parametros!$E$6+Parametros!$E$6*(Parametros!$E$7/G570+I570)/(Parametros!$E$6+Parametros!$E$7/G570+I570))</f>
        <v/>
      </c>
      <c r="K570" s="2" t="inlineStr">
        <is>
          <t>2026-09-30 14:30</t>
        </is>
      </c>
      <c r="L570" s="6" t="inlineStr">
        <is>
          <t>Válido</t>
        </is>
      </c>
      <c r="M570" s="2">
        <f>IF(L570="Válido","Sim","Não")</f>
        <v/>
      </c>
      <c r="N570" s="2" t="inlineStr"/>
    </row>
    <row r="571">
      <c r="A571" s="2" t="inlineStr">
        <is>
          <t>6Bracos_3000_R1001_150W_2026-09-30_14_30.csv</t>
        </is>
      </c>
      <c r="B571" s="2" t="inlineStr">
        <is>
          <t>150W_3000RPM_R1001</t>
        </is>
      </c>
      <c r="C571" s="2" t="n">
        <v>150</v>
      </c>
      <c r="D571" s="2" t="n">
        <v>3000</v>
      </c>
      <c r="E571" s="3">
        <f>D571*2/60</f>
        <v/>
      </c>
      <c r="F571" s="2" t="inlineStr">
        <is>
          <t>1001</t>
        </is>
      </c>
      <c r="G571" s="2" t="n">
        <v>6</v>
      </c>
      <c r="H571" s="2">
        <f>INDEX(Parametros!$B$2:$B$9,MATCH(G571,Parametros!$A$2:$A$9,0))</f>
        <v/>
      </c>
      <c r="I571" s="4">
        <f>1/(VALUE(MID(F571,1,1))/Parametros!$E$2+VALUE(MID(F571,2,1))/Parametros!$E$3+VALUE(MID(F571,3,1))/Parametros!$E$4+VALUE(MID(F571,4,1))/Parametros!$E$5)</f>
        <v/>
      </c>
      <c r="J571" s="5">
        <f>IF(G571=0,Parametros!$E$8,Parametros!$E$6+Parametros!$E$6*(Parametros!$E$7/G571+I571)/(Parametros!$E$6+Parametros!$E$7/G571+I571))</f>
        <v/>
      </c>
      <c r="K571" s="2" t="inlineStr">
        <is>
          <t>2026-09-30 14:30</t>
        </is>
      </c>
      <c r="L571" s="6" t="inlineStr">
        <is>
          <t>Válido</t>
        </is>
      </c>
      <c r="M571" s="2">
        <f>IF(L571="Válido","Sim","Não")</f>
        <v/>
      </c>
      <c r="N571" s="2" t="inlineStr"/>
    </row>
    <row r="572">
      <c r="A572" s="2" t="inlineStr">
        <is>
          <t>5Bracos_3000_R1001_150W_2026-09-30_14_30.csv</t>
        </is>
      </c>
      <c r="B572" s="2" t="inlineStr">
        <is>
          <t>150W_3000RPM_R1001</t>
        </is>
      </c>
      <c r="C572" s="2" t="n">
        <v>150</v>
      </c>
      <c r="D572" s="2" t="n">
        <v>3000</v>
      </c>
      <c r="E572" s="3">
        <f>D572*2/60</f>
        <v/>
      </c>
      <c r="F572" s="2" t="inlineStr">
        <is>
          <t>1001</t>
        </is>
      </c>
      <c r="G572" s="2" t="n">
        <v>5</v>
      </c>
      <c r="H572" s="2">
        <f>INDEX(Parametros!$B$2:$B$9,MATCH(G572,Parametros!$A$2:$A$9,0))</f>
        <v/>
      </c>
      <c r="I572" s="4">
        <f>1/(VALUE(MID(F572,1,1))/Parametros!$E$2+VALUE(MID(F572,2,1))/Parametros!$E$3+VALUE(MID(F572,3,1))/Parametros!$E$4+VALUE(MID(F572,4,1))/Parametros!$E$5)</f>
        <v/>
      </c>
      <c r="J572" s="5">
        <f>IF(G572=0,Parametros!$E$8,Parametros!$E$6+Parametros!$E$6*(Parametros!$E$7/G572+I572)/(Parametros!$E$6+Parametros!$E$7/G572+I572))</f>
        <v/>
      </c>
      <c r="K572" s="2" t="inlineStr">
        <is>
          <t>2026-09-30 14:30</t>
        </is>
      </c>
      <c r="L572" s="6" t="inlineStr">
        <is>
          <t>Válido</t>
        </is>
      </c>
      <c r="M572" s="2">
        <f>IF(L572="Válido","Sim","Não")</f>
        <v/>
      </c>
      <c r="N572" s="2" t="inlineStr"/>
    </row>
    <row r="573">
      <c r="A573" s="2" t="inlineStr">
        <is>
          <t>4Bracos_3000_R1001_150W_2026-09-30_14_30.csv</t>
        </is>
      </c>
      <c r="B573" s="2" t="inlineStr">
        <is>
          <t>150W_3000RPM_R1001</t>
        </is>
      </c>
      <c r="C573" s="2" t="n">
        <v>150</v>
      </c>
      <c r="D573" s="2" t="n">
        <v>3000</v>
      </c>
      <c r="E573" s="3">
        <f>D573*2/60</f>
        <v/>
      </c>
      <c r="F573" s="2" t="inlineStr">
        <is>
          <t>1001</t>
        </is>
      </c>
      <c r="G573" s="2" t="n">
        <v>4</v>
      </c>
      <c r="H573" s="2">
        <f>INDEX(Parametros!$B$2:$B$9,MATCH(G573,Parametros!$A$2:$A$9,0))</f>
        <v/>
      </c>
      <c r="I573" s="4">
        <f>1/(VALUE(MID(F573,1,1))/Parametros!$E$2+VALUE(MID(F573,2,1))/Parametros!$E$3+VALUE(MID(F573,3,1))/Parametros!$E$4+VALUE(MID(F573,4,1))/Parametros!$E$5)</f>
        <v/>
      </c>
      <c r="J573" s="5">
        <f>IF(G573=0,Parametros!$E$8,Parametros!$E$6+Parametros!$E$6*(Parametros!$E$7/G573+I573)/(Parametros!$E$6+Parametros!$E$7/G573+I573))</f>
        <v/>
      </c>
      <c r="K573" s="2" t="inlineStr">
        <is>
          <t>2026-09-30 14:30</t>
        </is>
      </c>
      <c r="L573" s="6" t="inlineStr">
        <is>
          <t>Válido</t>
        </is>
      </c>
      <c r="M573" s="2">
        <f>IF(L573="Válido","Sim","Não")</f>
        <v/>
      </c>
      <c r="N573" s="2" t="inlineStr"/>
    </row>
    <row r="574">
      <c r="A574" s="2" t="inlineStr">
        <is>
          <t>3Bracos_3000_R1001_150W_2026-09-30_14_30.csv</t>
        </is>
      </c>
      <c r="B574" s="2" t="inlineStr">
        <is>
          <t>150W_3000RPM_R1001</t>
        </is>
      </c>
      <c r="C574" s="2" t="n">
        <v>150</v>
      </c>
      <c r="D574" s="2" t="n">
        <v>3000</v>
      </c>
      <c r="E574" s="3">
        <f>D574*2/60</f>
        <v/>
      </c>
      <c r="F574" s="2" t="inlineStr">
        <is>
          <t>1001</t>
        </is>
      </c>
      <c r="G574" s="2" t="n">
        <v>3</v>
      </c>
      <c r="H574" s="2">
        <f>INDEX(Parametros!$B$2:$B$9,MATCH(G574,Parametros!$A$2:$A$9,0))</f>
        <v/>
      </c>
      <c r="I574" s="4">
        <f>1/(VALUE(MID(F574,1,1))/Parametros!$E$2+VALUE(MID(F574,2,1))/Parametros!$E$3+VALUE(MID(F574,3,1))/Parametros!$E$4+VALUE(MID(F574,4,1))/Parametros!$E$5)</f>
        <v/>
      </c>
      <c r="J574" s="5">
        <f>IF(G574=0,Parametros!$E$8,Parametros!$E$6+Parametros!$E$6*(Parametros!$E$7/G574+I574)/(Parametros!$E$6+Parametros!$E$7/G574+I574))</f>
        <v/>
      </c>
      <c r="K574" s="2" t="inlineStr">
        <is>
          <t>2026-09-30 14:30</t>
        </is>
      </c>
      <c r="L574" s="6" t="inlineStr">
        <is>
          <t>Válido</t>
        </is>
      </c>
      <c r="M574" s="2">
        <f>IF(L574="Válido","Sim","Não")</f>
        <v/>
      </c>
      <c r="N574" s="2" t="inlineStr"/>
    </row>
    <row r="575">
      <c r="A575" s="2" t="inlineStr">
        <is>
          <t>2Bracos_3000_R1001_150W_2026-09-30_14_30.csv</t>
        </is>
      </c>
      <c r="B575" s="2" t="inlineStr">
        <is>
          <t>150W_3000RPM_R1001</t>
        </is>
      </c>
      <c r="C575" s="2" t="n">
        <v>150</v>
      </c>
      <c r="D575" s="2" t="n">
        <v>3000</v>
      </c>
      <c r="E575" s="3">
        <f>D575*2/60</f>
        <v/>
      </c>
      <c r="F575" s="2" t="inlineStr">
        <is>
          <t>1001</t>
        </is>
      </c>
      <c r="G575" s="2" t="n">
        <v>2</v>
      </c>
      <c r="H575" s="2">
        <f>INDEX(Parametros!$B$2:$B$9,MATCH(G575,Parametros!$A$2:$A$9,0))</f>
        <v/>
      </c>
      <c r="I575" s="4">
        <f>1/(VALUE(MID(F575,1,1))/Parametros!$E$2+VALUE(MID(F575,2,1))/Parametros!$E$3+VALUE(MID(F575,3,1))/Parametros!$E$4+VALUE(MID(F575,4,1))/Parametros!$E$5)</f>
        <v/>
      </c>
      <c r="J575" s="5">
        <f>IF(G575=0,Parametros!$E$8,Parametros!$E$6+Parametros!$E$6*(Parametros!$E$7/G575+I575)/(Parametros!$E$6+Parametros!$E$7/G575+I575))</f>
        <v/>
      </c>
      <c r="K575" s="2" t="inlineStr">
        <is>
          <t>2026-09-30 14:30</t>
        </is>
      </c>
      <c r="L575" s="6" t="inlineStr">
        <is>
          <t>Válido</t>
        </is>
      </c>
      <c r="M575" s="2">
        <f>IF(L575="Válido","Sim","Não")</f>
        <v/>
      </c>
      <c r="N575" s="2" t="inlineStr"/>
    </row>
    <row r="576">
      <c r="A576" s="2" t="inlineStr">
        <is>
          <t>1Bracos_3000_R1001_150W_2026-09-30_14_30.csv</t>
        </is>
      </c>
      <c r="B576" s="2" t="inlineStr">
        <is>
          <t>150W_3000RPM_R1001</t>
        </is>
      </c>
      <c r="C576" s="2" t="n">
        <v>150</v>
      </c>
      <c r="D576" s="2" t="n">
        <v>3000</v>
      </c>
      <c r="E576" s="3">
        <f>D576*2/60</f>
        <v/>
      </c>
      <c r="F576" s="2" t="inlineStr">
        <is>
          <t>1001</t>
        </is>
      </c>
      <c r="G576" s="2" t="n">
        <v>1</v>
      </c>
      <c r="H576" s="2">
        <f>INDEX(Parametros!$B$2:$B$9,MATCH(G576,Parametros!$A$2:$A$9,0))</f>
        <v/>
      </c>
      <c r="I576" s="4">
        <f>1/(VALUE(MID(F576,1,1))/Parametros!$E$2+VALUE(MID(F576,2,1))/Parametros!$E$3+VALUE(MID(F576,3,1))/Parametros!$E$4+VALUE(MID(F576,4,1))/Parametros!$E$5)</f>
        <v/>
      </c>
      <c r="J576" s="5">
        <f>IF(G576=0,Parametros!$E$8,Parametros!$E$6+Parametros!$E$6*(Parametros!$E$7/G576+I576)/(Parametros!$E$6+Parametros!$E$7/G576+I576))</f>
        <v/>
      </c>
      <c r="K576" s="2" t="inlineStr">
        <is>
          <t>2026-09-30 14:30</t>
        </is>
      </c>
      <c r="L576" s="6" t="inlineStr">
        <is>
          <t>Válido</t>
        </is>
      </c>
      <c r="M576" s="2">
        <f>IF(L576="Válido","Sim","Não")</f>
        <v/>
      </c>
      <c r="N576" s="2" t="inlineStr"/>
    </row>
    <row r="577">
      <c r="A577" s="2" t="inlineStr">
        <is>
          <t>0Bracos_3000_R1001_150W_2026-09-30_14_30.csv</t>
        </is>
      </c>
      <c r="B577" s="2" t="inlineStr">
        <is>
          <t>150W_3000RPM_R1001</t>
        </is>
      </c>
      <c r="C577" s="2" t="n">
        <v>150</v>
      </c>
      <c r="D577" s="2" t="n">
        <v>3000</v>
      </c>
      <c r="E577" s="3">
        <f>D577*2/60</f>
        <v/>
      </c>
      <c r="F577" s="2" t="inlineStr">
        <is>
          <t>1001</t>
        </is>
      </c>
      <c r="G577" s="2" t="n">
        <v>0</v>
      </c>
      <c r="H577" s="2">
        <f>INDEX(Parametros!$B$2:$B$9,MATCH(G577,Parametros!$A$2:$A$9,0))</f>
        <v/>
      </c>
      <c r="I577" s="4">
        <f>1/(VALUE(MID(F577,1,1))/Parametros!$E$2+VALUE(MID(F577,2,1))/Parametros!$E$3+VALUE(MID(F577,3,1))/Parametros!$E$4+VALUE(MID(F577,4,1))/Parametros!$E$5)</f>
        <v/>
      </c>
      <c r="J577" s="5">
        <f>IF(G577=0,Parametros!$E$8,Parametros!$E$6+Parametros!$E$6*(Parametros!$E$7/G577+I577)/(Parametros!$E$6+Parametros!$E$7/G577+I577))</f>
        <v/>
      </c>
      <c r="K577" s="2" t="inlineStr">
        <is>
          <t>2026-09-30 14:30</t>
        </is>
      </c>
      <c r="L577" s="6" t="inlineStr">
        <is>
          <t>Válido</t>
        </is>
      </c>
      <c r="M577" s="2">
        <f>IF(L577="Válido","Sim","Não")</f>
        <v/>
      </c>
      <c r="N577" s="2" t="inlineStr"/>
    </row>
    <row r="578">
      <c r="A578" s="2" t="inlineStr">
        <is>
          <t>7Bracos_3000_R1010_150W_2026-09-30_14_30.csv</t>
        </is>
      </c>
      <c r="B578" s="2" t="inlineStr">
        <is>
          <t>150W_3000RPM_R1010</t>
        </is>
      </c>
      <c r="C578" s="2" t="n">
        <v>150</v>
      </c>
      <c r="D578" s="2" t="n">
        <v>3000</v>
      </c>
      <c r="E578" s="3">
        <f>D578*2/60</f>
        <v/>
      </c>
      <c r="F578" s="2" t="inlineStr">
        <is>
          <t>1010</t>
        </is>
      </c>
      <c r="G578" s="2" t="n">
        <v>7</v>
      </c>
      <c r="H578" s="2">
        <f>INDEX(Parametros!$B$2:$B$9,MATCH(G578,Parametros!$A$2:$A$9,0))</f>
        <v/>
      </c>
      <c r="I578" s="4">
        <f>1/(VALUE(MID(F578,1,1))/Parametros!$E$2+VALUE(MID(F578,2,1))/Parametros!$E$3+VALUE(MID(F578,3,1))/Parametros!$E$4+VALUE(MID(F578,4,1))/Parametros!$E$5)</f>
        <v/>
      </c>
      <c r="J578" s="5">
        <f>IF(G578=0,Parametros!$E$8,Parametros!$E$6+Parametros!$E$6*(Parametros!$E$7/G578+I578)/(Parametros!$E$6+Parametros!$E$7/G578+I578))</f>
        <v/>
      </c>
      <c r="K578" s="2" t="inlineStr">
        <is>
          <t>2026-09-30 14:30</t>
        </is>
      </c>
      <c r="L578" s="6" t="inlineStr">
        <is>
          <t>Válido</t>
        </is>
      </c>
      <c r="M578" s="2">
        <f>IF(L578="Válido","Sim","Não")</f>
        <v/>
      </c>
      <c r="N578" s="2" t="inlineStr"/>
    </row>
    <row r="579">
      <c r="A579" s="2" t="inlineStr">
        <is>
          <t>6Bracos_3000_R1010_150W_2026-09-30_14_30.csv</t>
        </is>
      </c>
      <c r="B579" s="2" t="inlineStr">
        <is>
          <t>150W_3000RPM_R1010</t>
        </is>
      </c>
      <c r="C579" s="2" t="n">
        <v>150</v>
      </c>
      <c r="D579" s="2" t="n">
        <v>3000</v>
      </c>
      <c r="E579" s="3">
        <f>D579*2/60</f>
        <v/>
      </c>
      <c r="F579" s="2" t="inlineStr">
        <is>
          <t>1010</t>
        </is>
      </c>
      <c r="G579" s="2" t="n">
        <v>6</v>
      </c>
      <c r="H579" s="2">
        <f>INDEX(Parametros!$B$2:$B$9,MATCH(G579,Parametros!$A$2:$A$9,0))</f>
        <v/>
      </c>
      <c r="I579" s="4">
        <f>1/(VALUE(MID(F579,1,1))/Parametros!$E$2+VALUE(MID(F579,2,1))/Parametros!$E$3+VALUE(MID(F579,3,1))/Parametros!$E$4+VALUE(MID(F579,4,1))/Parametros!$E$5)</f>
        <v/>
      </c>
      <c r="J579" s="5">
        <f>IF(G579=0,Parametros!$E$8,Parametros!$E$6+Parametros!$E$6*(Parametros!$E$7/G579+I579)/(Parametros!$E$6+Parametros!$E$7/G579+I579))</f>
        <v/>
      </c>
      <c r="K579" s="2" t="inlineStr">
        <is>
          <t>2026-09-30 14:30</t>
        </is>
      </c>
      <c r="L579" s="6" t="inlineStr">
        <is>
          <t>Válido</t>
        </is>
      </c>
      <c r="M579" s="2">
        <f>IF(L579="Válido","Sim","Não")</f>
        <v/>
      </c>
      <c r="N579" s="2" t="inlineStr"/>
    </row>
    <row r="580">
      <c r="A580" s="2" t="inlineStr">
        <is>
          <t>5Bracos_3000_R1010_150W_2026-09-30_14_30.csv</t>
        </is>
      </c>
      <c r="B580" s="2" t="inlineStr">
        <is>
          <t>150W_3000RPM_R1010</t>
        </is>
      </c>
      <c r="C580" s="2" t="n">
        <v>150</v>
      </c>
      <c r="D580" s="2" t="n">
        <v>3000</v>
      </c>
      <c r="E580" s="3">
        <f>D580*2/60</f>
        <v/>
      </c>
      <c r="F580" s="2" t="inlineStr">
        <is>
          <t>1010</t>
        </is>
      </c>
      <c r="G580" s="2" t="n">
        <v>5</v>
      </c>
      <c r="H580" s="2">
        <f>INDEX(Parametros!$B$2:$B$9,MATCH(G580,Parametros!$A$2:$A$9,0))</f>
        <v/>
      </c>
      <c r="I580" s="4">
        <f>1/(VALUE(MID(F580,1,1))/Parametros!$E$2+VALUE(MID(F580,2,1))/Parametros!$E$3+VALUE(MID(F580,3,1))/Parametros!$E$4+VALUE(MID(F580,4,1))/Parametros!$E$5)</f>
        <v/>
      </c>
      <c r="J580" s="5">
        <f>IF(G580=0,Parametros!$E$8,Parametros!$E$6+Parametros!$E$6*(Parametros!$E$7/G580+I580)/(Parametros!$E$6+Parametros!$E$7/G580+I580))</f>
        <v/>
      </c>
      <c r="K580" s="2" t="inlineStr">
        <is>
          <t>2026-09-30 14:30</t>
        </is>
      </c>
      <c r="L580" s="6" t="inlineStr">
        <is>
          <t>Válido</t>
        </is>
      </c>
      <c r="M580" s="2">
        <f>IF(L580="Válido","Sim","Não")</f>
        <v/>
      </c>
      <c r="N580" s="2" t="inlineStr"/>
    </row>
    <row r="581">
      <c r="A581" s="2" t="inlineStr">
        <is>
          <t>4Bracos_3000_R1010_150W_2026-09-30_14_30.csv</t>
        </is>
      </c>
      <c r="B581" s="2" t="inlineStr">
        <is>
          <t>150W_3000RPM_R1010</t>
        </is>
      </c>
      <c r="C581" s="2" t="n">
        <v>150</v>
      </c>
      <c r="D581" s="2" t="n">
        <v>3000</v>
      </c>
      <c r="E581" s="3">
        <f>D581*2/60</f>
        <v/>
      </c>
      <c r="F581" s="2" t="inlineStr">
        <is>
          <t>1010</t>
        </is>
      </c>
      <c r="G581" s="2" t="n">
        <v>4</v>
      </c>
      <c r="H581" s="2">
        <f>INDEX(Parametros!$B$2:$B$9,MATCH(G581,Parametros!$A$2:$A$9,0))</f>
        <v/>
      </c>
      <c r="I581" s="4">
        <f>1/(VALUE(MID(F581,1,1))/Parametros!$E$2+VALUE(MID(F581,2,1))/Parametros!$E$3+VALUE(MID(F581,3,1))/Parametros!$E$4+VALUE(MID(F581,4,1))/Parametros!$E$5)</f>
        <v/>
      </c>
      <c r="J581" s="5">
        <f>IF(G581=0,Parametros!$E$8,Parametros!$E$6+Parametros!$E$6*(Parametros!$E$7/G581+I581)/(Parametros!$E$6+Parametros!$E$7/G581+I581))</f>
        <v/>
      </c>
      <c r="K581" s="2" t="inlineStr">
        <is>
          <t>2026-09-30 14:30</t>
        </is>
      </c>
      <c r="L581" s="6" t="inlineStr">
        <is>
          <t>Válido</t>
        </is>
      </c>
      <c r="M581" s="2">
        <f>IF(L581="Válido","Sim","Não")</f>
        <v/>
      </c>
      <c r="N581" s="2" t="inlineStr"/>
    </row>
    <row r="582">
      <c r="A582" s="2" t="inlineStr">
        <is>
          <t>3Bracos_3000_R1010_150W_2026-09-30_14_30.csv</t>
        </is>
      </c>
      <c r="B582" s="2" t="inlineStr">
        <is>
          <t>150W_3000RPM_R1010</t>
        </is>
      </c>
      <c r="C582" s="2" t="n">
        <v>150</v>
      </c>
      <c r="D582" s="2" t="n">
        <v>3000</v>
      </c>
      <c r="E582" s="3">
        <f>D582*2/60</f>
        <v/>
      </c>
      <c r="F582" s="2" t="inlineStr">
        <is>
          <t>1010</t>
        </is>
      </c>
      <c r="G582" s="2" t="n">
        <v>3</v>
      </c>
      <c r="H582" s="2">
        <f>INDEX(Parametros!$B$2:$B$9,MATCH(G582,Parametros!$A$2:$A$9,0))</f>
        <v/>
      </c>
      <c r="I582" s="4">
        <f>1/(VALUE(MID(F582,1,1))/Parametros!$E$2+VALUE(MID(F582,2,1))/Parametros!$E$3+VALUE(MID(F582,3,1))/Parametros!$E$4+VALUE(MID(F582,4,1))/Parametros!$E$5)</f>
        <v/>
      </c>
      <c r="J582" s="5">
        <f>IF(G582=0,Parametros!$E$8,Parametros!$E$6+Parametros!$E$6*(Parametros!$E$7/G582+I582)/(Parametros!$E$6+Parametros!$E$7/G582+I582))</f>
        <v/>
      </c>
      <c r="K582" s="2" t="inlineStr">
        <is>
          <t>2026-09-30 14:30</t>
        </is>
      </c>
      <c r="L582" s="6" t="inlineStr">
        <is>
          <t>Válido</t>
        </is>
      </c>
      <c r="M582" s="2">
        <f>IF(L582="Válido","Sim","Não")</f>
        <v/>
      </c>
      <c r="N582" s="2" t="inlineStr"/>
    </row>
    <row r="583">
      <c r="A583" s="2" t="inlineStr">
        <is>
          <t>2Bracos_3000_R1010_150W_2026-09-30_14_30.csv</t>
        </is>
      </c>
      <c r="B583" s="2" t="inlineStr">
        <is>
          <t>150W_3000RPM_R1010</t>
        </is>
      </c>
      <c r="C583" s="2" t="n">
        <v>150</v>
      </c>
      <c r="D583" s="2" t="n">
        <v>3000</v>
      </c>
      <c r="E583" s="3">
        <f>D583*2/60</f>
        <v/>
      </c>
      <c r="F583" s="2" t="inlineStr">
        <is>
          <t>1010</t>
        </is>
      </c>
      <c r="G583" s="2" t="n">
        <v>2</v>
      </c>
      <c r="H583" s="2">
        <f>INDEX(Parametros!$B$2:$B$9,MATCH(G583,Parametros!$A$2:$A$9,0))</f>
        <v/>
      </c>
      <c r="I583" s="4">
        <f>1/(VALUE(MID(F583,1,1))/Parametros!$E$2+VALUE(MID(F583,2,1))/Parametros!$E$3+VALUE(MID(F583,3,1))/Parametros!$E$4+VALUE(MID(F583,4,1))/Parametros!$E$5)</f>
        <v/>
      </c>
      <c r="J583" s="5">
        <f>IF(G583=0,Parametros!$E$8,Parametros!$E$6+Parametros!$E$6*(Parametros!$E$7/G583+I583)/(Parametros!$E$6+Parametros!$E$7/G583+I583))</f>
        <v/>
      </c>
      <c r="K583" s="2" t="inlineStr">
        <is>
          <t>2026-09-30 14:30</t>
        </is>
      </c>
      <c r="L583" s="6" t="inlineStr">
        <is>
          <t>Válido</t>
        </is>
      </c>
      <c r="M583" s="2">
        <f>IF(L583="Válido","Sim","Não")</f>
        <v/>
      </c>
      <c r="N583" s="2" t="inlineStr"/>
    </row>
    <row r="584">
      <c r="A584" s="2" t="inlineStr">
        <is>
          <t>1Bracos_3000_R1010_150W_2026-09-30_14_30.csv</t>
        </is>
      </c>
      <c r="B584" s="2" t="inlineStr">
        <is>
          <t>150W_3000RPM_R1010</t>
        </is>
      </c>
      <c r="C584" s="2" t="n">
        <v>150</v>
      </c>
      <c r="D584" s="2" t="n">
        <v>3000</v>
      </c>
      <c r="E584" s="3">
        <f>D584*2/60</f>
        <v/>
      </c>
      <c r="F584" s="2" t="inlineStr">
        <is>
          <t>1010</t>
        </is>
      </c>
      <c r="G584" s="2" t="n">
        <v>1</v>
      </c>
      <c r="H584" s="2">
        <f>INDEX(Parametros!$B$2:$B$9,MATCH(G584,Parametros!$A$2:$A$9,0))</f>
        <v/>
      </c>
      <c r="I584" s="4">
        <f>1/(VALUE(MID(F584,1,1))/Parametros!$E$2+VALUE(MID(F584,2,1))/Parametros!$E$3+VALUE(MID(F584,3,1))/Parametros!$E$4+VALUE(MID(F584,4,1))/Parametros!$E$5)</f>
        <v/>
      </c>
      <c r="J584" s="5">
        <f>IF(G584=0,Parametros!$E$8,Parametros!$E$6+Parametros!$E$6*(Parametros!$E$7/G584+I584)/(Parametros!$E$6+Parametros!$E$7/G584+I584))</f>
        <v/>
      </c>
      <c r="K584" s="2" t="inlineStr">
        <is>
          <t>2026-09-30 14:30</t>
        </is>
      </c>
      <c r="L584" s="6" t="inlineStr">
        <is>
          <t>Válido</t>
        </is>
      </c>
      <c r="M584" s="2">
        <f>IF(L584="Válido","Sim","Não")</f>
        <v/>
      </c>
      <c r="N584" s="2" t="inlineStr"/>
    </row>
    <row r="585">
      <c r="A585" s="2" t="inlineStr">
        <is>
          <t>0Bracos_3000_R1010_150W_2026-09-30_14_30.csv</t>
        </is>
      </c>
      <c r="B585" s="2" t="inlineStr">
        <is>
          <t>150W_3000RPM_R1010</t>
        </is>
      </c>
      <c r="C585" s="2" t="n">
        <v>150</v>
      </c>
      <c r="D585" s="2" t="n">
        <v>3000</v>
      </c>
      <c r="E585" s="3">
        <f>D585*2/60</f>
        <v/>
      </c>
      <c r="F585" s="2" t="inlineStr">
        <is>
          <t>1010</t>
        </is>
      </c>
      <c r="G585" s="2" t="n">
        <v>0</v>
      </c>
      <c r="H585" s="2">
        <f>INDEX(Parametros!$B$2:$B$9,MATCH(G585,Parametros!$A$2:$A$9,0))</f>
        <v/>
      </c>
      <c r="I585" s="4">
        <f>1/(VALUE(MID(F585,1,1))/Parametros!$E$2+VALUE(MID(F585,2,1))/Parametros!$E$3+VALUE(MID(F585,3,1))/Parametros!$E$4+VALUE(MID(F585,4,1))/Parametros!$E$5)</f>
        <v/>
      </c>
      <c r="J585" s="5">
        <f>IF(G585=0,Parametros!$E$8,Parametros!$E$6+Parametros!$E$6*(Parametros!$E$7/G585+I585)/(Parametros!$E$6+Parametros!$E$7/G585+I585))</f>
        <v/>
      </c>
      <c r="K585" s="2" t="inlineStr">
        <is>
          <t>2026-09-30 14:30</t>
        </is>
      </c>
      <c r="L585" s="6" t="inlineStr">
        <is>
          <t>Válido</t>
        </is>
      </c>
      <c r="M585" s="2">
        <f>IF(L585="Válido","Sim","Não")</f>
        <v/>
      </c>
      <c r="N585" s="2" t="inlineStr"/>
    </row>
    <row r="586">
      <c r="A586" s="2" t="inlineStr">
        <is>
          <t>7Bracos_3000_R1011_150W_2026-09-30_14_30.csv</t>
        </is>
      </c>
      <c r="B586" s="2" t="inlineStr">
        <is>
          <t>150W_3000RPM_R1011</t>
        </is>
      </c>
      <c r="C586" s="2" t="n">
        <v>150</v>
      </c>
      <c r="D586" s="2" t="n">
        <v>3000</v>
      </c>
      <c r="E586" s="3">
        <f>D586*2/60</f>
        <v/>
      </c>
      <c r="F586" s="2" t="inlineStr">
        <is>
          <t>1011</t>
        </is>
      </c>
      <c r="G586" s="2" t="n">
        <v>7</v>
      </c>
      <c r="H586" s="2">
        <f>INDEX(Parametros!$B$2:$B$9,MATCH(G586,Parametros!$A$2:$A$9,0))</f>
        <v/>
      </c>
      <c r="I586" s="4">
        <f>1/(VALUE(MID(F586,1,1))/Parametros!$E$2+VALUE(MID(F586,2,1))/Parametros!$E$3+VALUE(MID(F586,3,1))/Parametros!$E$4+VALUE(MID(F586,4,1))/Parametros!$E$5)</f>
        <v/>
      </c>
      <c r="J586" s="5">
        <f>IF(G586=0,Parametros!$E$8,Parametros!$E$6+Parametros!$E$6*(Parametros!$E$7/G586+I586)/(Parametros!$E$6+Parametros!$E$7/G586+I586))</f>
        <v/>
      </c>
      <c r="K586" s="2" t="inlineStr">
        <is>
          <t>2026-09-30 14:30</t>
        </is>
      </c>
      <c r="L586" s="6" t="inlineStr">
        <is>
          <t>Válido</t>
        </is>
      </c>
      <c r="M586" s="2">
        <f>IF(L586="Válido","Sim","Não")</f>
        <v/>
      </c>
      <c r="N586" s="2" t="inlineStr"/>
    </row>
    <row r="587">
      <c r="A587" s="2" t="inlineStr">
        <is>
          <t>6Bracos_3000_R1011_150W_2026-09-30_14_30.csv</t>
        </is>
      </c>
      <c r="B587" s="2" t="inlineStr">
        <is>
          <t>150W_3000RPM_R1011</t>
        </is>
      </c>
      <c r="C587" s="2" t="n">
        <v>150</v>
      </c>
      <c r="D587" s="2" t="n">
        <v>3000</v>
      </c>
      <c r="E587" s="3">
        <f>D587*2/60</f>
        <v/>
      </c>
      <c r="F587" s="2" t="inlineStr">
        <is>
          <t>1011</t>
        </is>
      </c>
      <c r="G587" s="2" t="n">
        <v>6</v>
      </c>
      <c r="H587" s="2">
        <f>INDEX(Parametros!$B$2:$B$9,MATCH(G587,Parametros!$A$2:$A$9,0))</f>
        <v/>
      </c>
      <c r="I587" s="4">
        <f>1/(VALUE(MID(F587,1,1))/Parametros!$E$2+VALUE(MID(F587,2,1))/Parametros!$E$3+VALUE(MID(F587,3,1))/Parametros!$E$4+VALUE(MID(F587,4,1))/Parametros!$E$5)</f>
        <v/>
      </c>
      <c r="J587" s="5">
        <f>IF(G587=0,Parametros!$E$8,Parametros!$E$6+Parametros!$E$6*(Parametros!$E$7/G587+I587)/(Parametros!$E$6+Parametros!$E$7/G587+I587))</f>
        <v/>
      </c>
      <c r="K587" s="2" t="inlineStr">
        <is>
          <t>2026-09-30 14:30</t>
        </is>
      </c>
      <c r="L587" s="6" t="inlineStr">
        <is>
          <t>Válido</t>
        </is>
      </c>
      <c r="M587" s="2">
        <f>IF(L587="Válido","Sim","Não")</f>
        <v/>
      </c>
      <c r="N587" s="2" t="inlineStr"/>
    </row>
    <row r="588">
      <c r="A588" s="2" t="inlineStr">
        <is>
          <t>5Bracos_3000_R1011_150W_2026-09-30_14_30.csv</t>
        </is>
      </c>
      <c r="B588" s="2" t="inlineStr">
        <is>
          <t>150W_3000RPM_R1011</t>
        </is>
      </c>
      <c r="C588" s="2" t="n">
        <v>150</v>
      </c>
      <c r="D588" s="2" t="n">
        <v>3000</v>
      </c>
      <c r="E588" s="3">
        <f>D588*2/60</f>
        <v/>
      </c>
      <c r="F588" s="2" t="inlineStr">
        <is>
          <t>1011</t>
        </is>
      </c>
      <c r="G588" s="2" t="n">
        <v>5</v>
      </c>
      <c r="H588" s="2">
        <f>INDEX(Parametros!$B$2:$B$9,MATCH(G588,Parametros!$A$2:$A$9,0))</f>
        <v/>
      </c>
      <c r="I588" s="4">
        <f>1/(VALUE(MID(F588,1,1))/Parametros!$E$2+VALUE(MID(F588,2,1))/Parametros!$E$3+VALUE(MID(F588,3,1))/Parametros!$E$4+VALUE(MID(F588,4,1))/Parametros!$E$5)</f>
        <v/>
      </c>
      <c r="J588" s="5">
        <f>IF(G588=0,Parametros!$E$8,Parametros!$E$6+Parametros!$E$6*(Parametros!$E$7/G588+I588)/(Parametros!$E$6+Parametros!$E$7/G588+I588))</f>
        <v/>
      </c>
      <c r="K588" s="2" t="inlineStr">
        <is>
          <t>2026-09-30 14:30</t>
        </is>
      </c>
      <c r="L588" s="6" t="inlineStr">
        <is>
          <t>Válido</t>
        </is>
      </c>
      <c r="M588" s="2">
        <f>IF(L588="Válido","Sim","Não")</f>
        <v/>
      </c>
      <c r="N588" s="2" t="inlineStr"/>
    </row>
    <row r="589">
      <c r="A589" s="2" t="inlineStr">
        <is>
          <t>4Bracos_3000_R1011_150W_2026-09-30_14_30.csv</t>
        </is>
      </c>
      <c r="B589" s="2" t="inlineStr">
        <is>
          <t>150W_3000RPM_R1011</t>
        </is>
      </c>
      <c r="C589" s="2" t="n">
        <v>150</v>
      </c>
      <c r="D589" s="2" t="n">
        <v>3000</v>
      </c>
      <c r="E589" s="3">
        <f>D589*2/60</f>
        <v/>
      </c>
      <c r="F589" s="2" t="inlineStr">
        <is>
          <t>1011</t>
        </is>
      </c>
      <c r="G589" s="2" t="n">
        <v>4</v>
      </c>
      <c r="H589" s="2">
        <f>INDEX(Parametros!$B$2:$B$9,MATCH(G589,Parametros!$A$2:$A$9,0))</f>
        <v/>
      </c>
      <c r="I589" s="4">
        <f>1/(VALUE(MID(F589,1,1))/Parametros!$E$2+VALUE(MID(F589,2,1))/Parametros!$E$3+VALUE(MID(F589,3,1))/Parametros!$E$4+VALUE(MID(F589,4,1))/Parametros!$E$5)</f>
        <v/>
      </c>
      <c r="J589" s="5">
        <f>IF(G589=0,Parametros!$E$8,Parametros!$E$6+Parametros!$E$6*(Parametros!$E$7/G589+I589)/(Parametros!$E$6+Parametros!$E$7/G589+I589))</f>
        <v/>
      </c>
      <c r="K589" s="2" t="inlineStr">
        <is>
          <t>2026-09-30 14:30</t>
        </is>
      </c>
      <c r="L589" s="6" t="inlineStr">
        <is>
          <t>Válido</t>
        </is>
      </c>
      <c r="M589" s="2">
        <f>IF(L589="Válido","Sim","Não")</f>
        <v/>
      </c>
      <c r="N589" s="2" t="inlineStr"/>
    </row>
    <row r="590">
      <c r="A590" s="2" t="inlineStr">
        <is>
          <t>3Bracos_3000_R1011_150W_2026-09-30_14_30.csv</t>
        </is>
      </c>
      <c r="B590" s="2" t="inlineStr">
        <is>
          <t>150W_3000RPM_R1011</t>
        </is>
      </c>
      <c r="C590" s="2" t="n">
        <v>150</v>
      </c>
      <c r="D590" s="2" t="n">
        <v>3000</v>
      </c>
      <c r="E590" s="3">
        <f>D590*2/60</f>
        <v/>
      </c>
      <c r="F590" s="2" t="inlineStr">
        <is>
          <t>1011</t>
        </is>
      </c>
      <c r="G590" s="2" t="n">
        <v>3</v>
      </c>
      <c r="H590" s="2">
        <f>INDEX(Parametros!$B$2:$B$9,MATCH(G590,Parametros!$A$2:$A$9,0))</f>
        <v/>
      </c>
      <c r="I590" s="4">
        <f>1/(VALUE(MID(F590,1,1))/Parametros!$E$2+VALUE(MID(F590,2,1))/Parametros!$E$3+VALUE(MID(F590,3,1))/Parametros!$E$4+VALUE(MID(F590,4,1))/Parametros!$E$5)</f>
        <v/>
      </c>
      <c r="J590" s="5">
        <f>IF(G590=0,Parametros!$E$8,Parametros!$E$6+Parametros!$E$6*(Parametros!$E$7/G590+I590)/(Parametros!$E$6+Parametros!$E$7/G590+I590))</f>
        <v/>
      </c>
      <c r="K590" s="2" t="inlineStr">
        <is>
          <t>2026-09-30 14:30</t>
        </is>
      </c>
      <c r="L590" s="6" t="inlineStr">
        <is>
          <t>Válido</t>
        </is>
      </c>
      <c r="M590" s="2">
        <f>IF(L590="Válido","Sim","Não")</f>
        <v/>
      </c>
      <c r="N590" s="2" t="inlineStr"/>
    </row>
    <row r="591">
      <c r="A591" s="2" t="inlineStr">
        <is>
          <t>2Bracos_3000_R1011_150W_2026-09-30_14_30.csv</t>
        </is>
      </c>
      <c r="B591" s="2" t="inlineStr">
        <is>
          <t>150W_3000RPM_R1011</t>
        </is>
      </c>
      <c r="C591" s="2" t="n">
        <v>150</v>
      </c>
      <c r="D591" s="2" t="n">
        <v>3000</v>
      </c>
      <c r="E591" s="3">
        <f>D591*2/60</f>
        <v/>
      </c>
      <c r="F591" s="2" t="inlineStr">
        <is>
          <t>1011</t>
        </is>
      </c>
      <c r="G591" s="2" t="n">
        <v>2</v>
      </c>
      <c r="H591" s="2">
        <f>INDEX(Parametros!$B$2:$B$9,MATCH(G591,Parametros!$A$2:$A$9,0))</f>
        <v/>
      </c>
      <c r="I591" s="4">
        <f>1/(VALUE(MID(F591,1,1))/Parametros!$E$2+VALUE(MID(F591,2,1))/Parametros!$E$3+VALUE(MID(F591,3,1))/Parametros!$E$4+VALUE(MID(F591,4,1))/Parametros!$E$5)</f>
        <v/>
      </c>
      <c r="J591" s="5">
        <f>IF(G591=0,Parametros!$E$8,Parametros!$E$6+Parametros!$E$6*(Parametros!$E$7/G591+I591)/(Parametros!$E$6+Parametros!$E$7/G591+I591))</f>
        <v/>
      </c>
      <c r="K591" s="2" t="inlineStr">
        <is>
          <t>2026-09-30 14:30</t>
        </is>
      </c>
      <c r="L591" s="6" t="inlineStr">
        <is>
          <t>Válido</t>
        </is>
      </c>
      <c r="M591" s="2">
        <f>IF(L591="Válido","Sim","Não")</f>
        <v/>
      </c>
      <c r="N591" s="2" t="inlineStr"/>
    </row>
    <row r="592">
      <c r="A592" s="2" t="inlineStr">
        <is>
          <t>1Bracos_3000_R1011_150W_2026-09-30_14_30.csv</t>
        </is>
      </c>
      <c r="B592" s="2" t="inlineStr">
        <is>
          <t>150W_3000RPM_R1011</t>
        </is>
      </c>
      <c r="C592" s="2" t="n">
        <v>150</v>
      </c>
      <c r="D592" s="2" t="n">
        <v>3000</v>
      </c>
      <c r="E592" s="3">
        <f>D592*2/60</f>
        <v/>
      </c>
      <c r="F592" s="2" t="inlineStr">
        <is>
          <t>1011</t>
        </is>
      </c>
      <c r="G592" s="2" t="n">
        <v>1</v>
      </c>
      <c r="H592" s="2">
        <f>INDEX(Parametros!$B$2:$B$9,MATCH(G592,Parametros!$A$2:$A$9,0))</f>
        <v/>
      </c>
      <c r="I592" s="4">
        <f>1/(VALUE(MID(F592,1,1))/Parametros!$E$2+VALUE(MID(F592,2,1))/Parametros!$E$3+VALUE(MID(F592,3,1))/Parametros!$E$4+VALUE(MID(F592,4,1))/Parametros!$E$5)</f>
        <v/>
      </c>
      <c r="J592" s="5">
        <f>IF(G592=0,Parametros!$E$8,Parametros!$E$6+Parametros!$E$6*(Parametros!$E$7/G592+I592)/(Parametros!$E$6+Parametros!$E$7/G592+I592))</f>
        <v/>
      </c>
      <c r="K592" s="2" t="inlineStr">
        <is>
          <t>2026-09-30 14:30</t>
        </is>
      </c>
      <c r="L592" s="6" t="inlineStr">
        <is>
          <t>Válido</t>
        </is>
      </c>
      <c r="M592" s="2">
        <f>IF(L592="Válido","Sim","Não")</f>
        <v/>
      </c>
      <c r="N592" s="2" t="inlineStr"/>
    </row>
    <row r="593">
      <c r="A593" s="2" t="inlineStr">
        <is>
          <t>0Bracos_3000_R1011_150W_2026-09-30_14_30.csv</t>
        </is>
      </c>
      <c r="B593" s="2" t="inlineStr">
        <is>
          <t>150W_3000RPM_R1011</t>
        </is>
      </c>
      <c r="C593" s="2" t="n">
        <v>150</v>
      </c>
      <c r="D593" s="2" t="n">
        <v>3000</v>
      </c>
      <c r="E593" s="3">
        <f>D593*2/60</f>
        <v/>
      </c>
      <c r="F593" s="2" t="inlineStr">
        <is>
          <t>1011</t>
        </is>
      </c>
      <c r="G593" s="2" t="n">
        <v>0</v>
      </c>
      <c r="H593" s="2">
        <f>INDEX(Parametros!$B$2:$B$9,MATCH(G593,Parametros!$A$2:$A$9,0))</f>
        <v/>
      </c>
      <c r="I593" s="4">
        <f>1/(VALUE(MID(F593,1,1))/Parametros!$E$2+VALUE(MID(F593,2,1))/Parametros!$E$3+VALUE(MID(F593,3,1))/Parametros!$E$4+VALUE(MID(F593,4,1))/Parametros!$E$5)</f>
        <v/>
      </c>
      <c r="J593" s="5">
        <f>IF(G593=0,Parametros!$E$8,Parametros!$E$6+Parametros!$E$6*(Parametros!$E$7/G593+I593)/(Parametros!$E$6+Parametros!$E$7/G593+I593))</f>
        <v/>
      </c>
      <c r="K593" s="2" t="inlineStr">
        <is>
          <t>2026-09-30 14:30</t>
        </is>
      </c>
      <c r="L593" s="6" t="inlineStr">
        <is>
          <t>Válido</t>
        </is>
      </c>
      <c r="M593" s="2">
        <f>IF(L593="Válido","Sim","Não")</f>
        <v/>
      </c>
      <c r="N593" s="2" t="inlineStr"/>
    </row>
    <row r="594">
      <c r="A594" s="2" t="inlineStr">
        <is>
          <t>7Bracos_3000_R1100_150W_2026-09-30_14_30.csv</t>
        </is>
      </c>
      <c r="B594" s="2" t="inlineStr">
        <is>
          <t>150W_3000RPM_R1100</t>
        </is>
      </c>
      <c r="C594" s="2" t="n">
        <v>150</v>
      </c>
      <c r="D594" s="2" t="n">
        <v>3000</v>
      </c>
      <c r="E594" s="3">
        <f>D594*2/60</f>
        <v/>
      </c>
      <c r="F594" s="2" t="inlineStr">
        <is>
          <t>1100</t>
        </is>
      </c>
      <c r="G594" s="2" t="n">
        <v>7</v>
      </c>
      <c r="H594" s="2">
        <f>INDEX(Parametros!$B$2:$B$9,MATCH(G594,Parametros!$A$2:$A$9,0))</f>
        <v/>
      </c>
      <c r="I594" s="4">
        <f>1/(VALUE(MID(F594,1,1))/Parametros!$E$2+VALUE(MID(F594,2,1))/Parametros!$E$3+VALUE(MID(F594,3,1))/Parametros!$E$4+VALUE(MID(F594,4,1))/Parametros!$E$5)</f>
        <v/>
      </c>
      <c r="J594" s="5">
        <f>IF(G594=0,Parametros!$E$8,Parametros!$E$6+Parametros!$E$6*(Parametros!$E$7/G594+I594)/(Parametros!$E$6+Parametros!$E$7/G594+I594))</f>
        <v/>
      </c>
      <c r="K594" s="2" t="inlineStr">
        <is>
          <t>2026-09-30 14:30</t>
        </is>
      </c>
      <c r="L594" s="6" t="inlineStr">
        <is>
          <t>Válido</t>
        </is>
      </c>
      <c r="M594" s="2">
        <f>IF(L594="Válido","Sim","Não")</f>
        <v/>
      </c>
      <c r="N594" s="2" t="inlineStr"/>
    </row>
    <row r="595">
      <c r="A595" s="2" t="inlineStr">
        <is>
          <t>6Bracos_3000_R1100_150W_2026-09-30_14_30.csv</t>
        </is>
      </c>
      <c r="B595" s="2" t="inlineStr">
        <is>
          <t>150W_3000RPM_R1100</t>
        </is>
      </c>
      <c r="C595" s="2" t="n">
        <v>150</v>
      </c>
      <c r="D595" s="2" t="n">
        <v>3000</v>
      </c>
      <c r="E595" s="3">
        <f>D595*2/60</f>
        <v/>
      </c>
      <c r="F595" s="2" t="inlineStr">
        <is>
          <t>1100</t>
        </is>
      </c>
      <c r="G595" s="2" t="n">
        <v>6</v>
      </c>
      <c r="H595" s="2">
        <f>INDEX(Parametros!$B$2:$B$9,MATCH(G595,Parametros!$A$2:$A$9,0))</f>
        <v/>
      </c>
      <c r="I595" s="4">
        <f>1/(VALUE(MID(F595,1,1))/Parametros!$E$2+VALUE(MID(F595,2,1))/Parametros!$E$3+VALUE(MID(F595,3,1))/Parametros!$E$4+VALUE(MID(F595,4,1))/Parametros!$E$5)</f>
        <v/>
      </c>
      <c r="J595" s="5">
        <f>IF(G595=0,Parametros!$E$8,Parametros!$E$6+Parametros!$E$6*(Parametros!$E$7/G595+I595)/(Parametros!$E$6+Parametros!$E$7/G595+I595))</f>
        <v/>
      </c>
      <c r="K595" s="2" t="inlineStr">
        <is>
          <t>2026-09-30 14:30</t>
        </is>
      </c>
      <c r="L595" s="6" t="inlineStr">
        <is>
          <t>Válido</t>
        </is>
      </c>
      <c r="M595" s="2">
        <f>IF(L595="Válido","Sim","Não")</f>
        <v/>
      </c>
      <c r="N595" s="2" t="inlineStr"/>
    </row>
    <row r="596">
      <c r="A596" s="2" t="inlineStr">
        <is>
          <t>5Bracos_3000_R1100_150W_2026-09-30_14_30.csv</t>
        </is>
      </c>
      <c r="B596" s="2" t="inlineStr">
        <is>
          <t>150W_3000RPM_R1100</t>
        </is>
      </c>
      <c r="C596" s="2" t="n">
        <v>150</v>
      </c>
      <c r="D596" s="2" t="n">
        <v>3000</v>
      </c>
      <c r="E596" s="3">
        <f>D596*2/60</f>
        <v/>
      </c>
      <c r="F596" s="2" t="inlineStr">
        <is>
          <t>1100</t>
        </is>
      </c>
      <c r="G596" s="2" t="n">
        <v>5</v>
      </c>
      <c r="H596" s="2">
        <f>INDEX(Parametros!$B$2:$B$9,MATCH(G596,Parametros!$A$2:$A$9,0))</f>
        <v/>
      </c>
      <c r="I596" s="4">
        <f>1/(VALUE(MID(F596,1,1))/Parametros!$E$2+VALUE(MID(F596,2,1))/Parametros!$E$3+VALUE(MID(F596,3,1))/Parametros!$E$4+VALUE(MID(F596,4,1))/Parametros!$E$5)</f>
        <v/>
      </c>
      <c r="J596" s="5">
        <f>IF(G596=0,Parametros!$E$8,Parametros!$E$6+Parametros!$E$6*(Parametros!$E$7/G596+I596)/(Parametros!$E$6+Parametros!$E$7/G596+I596))</f>
        <v/>
      </c>
      <c r="K596" s="2" t="inlineStr">
        <is>
          <t>2026-09-30 14:30</t>
        </is>
      </c>
      <c r="L596" s="6" t="inlineStr">
        <is>
          <t>Válido</t>
        </is>
      </c>
      <c r="M596" s="2">
        <f>IF(L596="Válido","Sim","Não")</f>
        <v/>
      </c>
      <c r="N596" s="2" t="inlineStr"/>
    </row>
    <row r="597">
      <c r="A597" s="2" t="inlineStr">
        <is>
          <t>4Bracos_3000_R1100_150W_2026-09-30_14_30.csv</t>
        </is>
      </c>
      <c r="B597" s="2" t="inlineStr">
        <is>
          <t>150W_3000RPM_R1100</t>
        </is>
      </c>
      <c r="C597" s="2" t="n">
        <v>150</v>
      </c>
      <c r="D597" s="2" t="n">
        <v>3000</v>
      </c>
      <c r="E597" s="3">
        <f>D597*2/60</f>
        <v/>
      </c>
      <c r="F597" s="2" t="inlineStr">
        <is>
          <t>1100</t>
        </is>
      </c>
      <c r="G597" s="2" t="n">
        <v>4</v>
      </c>
      <c r="H597" s="2">
        <f>INDEX(Parametros!$B$2:$B$9,MATCH(G597,Parametros!$A$2:$A$9,0))</f>
        <v/>
      </c>
      <c r="I597" s="4">
        <f>1/(VALUE(MID(F597,1,1))/Parametros!$E$2+VALUE(MID(F597,2,1))/Parametros!$E$3+VALUE(MID(F597,3,1))/Parametros!$E$4+VALUE(MID(F597,4,1))/Parametros!$E$5)</f>
        <v/>
      </c>
      <c r="J597" s="5">
        <f>IF(G597=0,Parametros!$E$8,Parametros!$E$6+Parametros!$E$6*(Parametros!$E$7/G597+I597)/(Parametros!$E$6+Parametros!$E$7/G597+I597))</f>
        <v/>
      </c>
      <c r="K597" s="2" t="inlineStr">
        <is>
          <t>2026-09-30 14:30</t>
        </is>
      </c>
      <c r="L597" s="6" t="inlineStr">
        <is>
          <t>Válido</t>
        </is>
      </c>
      <c r="M597" s="2">
        <f>IF(L597="Válido","Sim","Não")</f>
        <v/>
      </c>
      <c r="N597" s="2" t="inlineStr"/>
    </row>
    <row r="598">
      <c r="A598" s="2" t="inlineStr">
        <is>
          <t>3Bracos_3000_R1100_150W_2026-09-30_14_30.csv</t>
        </is>
      </c>
      <c r="B598" s="2" t="inlineStr">
        <is>
          <t>150W_3000RPM_R1100</t>
        </is>
      </c>
      <c r="C598" s="2" t="n">
        <v>150</v>
      </c>
      <c r="D598" s="2" t="n">
        <v>3000</v>
      </c>
      <c r="E598" s="3">
        <f>D598*2/60</f>
        <v/>
      </c>
      <c r="F598" s="2" t="inlineStr">
        <is>
          <t>1100</t>
        </is>
      </c>
      <c r="G598" s="2" t="n">
        <v>3</v>
      </c>
      <c r="H598" s="2">
        <f>INDEX(Parametros!$B$2:$B$9,MATCH(G598,Parametros!$A$2:$A$9,0))</f>
        <v/>
      </c>
      <c r="I598" s="4">
        <f>1/(VALUE(MID(F598,1,1))/Parametros!$E$2+VALUE(MID(F598,2,1))/Parametros!$E$3+VALUE(MID(F598,3,1))/Parametros!$E$4+VALUE(MID(F598,4,1))/Parametros!$E$5)</f>
        <v/>
      </c>
      <c r="J598" s="5">
        <f>IF(G598=0,Parametros!$E$8,Parametros!$E$6+Parametros!$E$6*(Parametros!$E$7/G598+I598)/(Parametros!$E$6+Parametros!$E$7/G598+I598))</f>
        <v/>
      </c>
      <c r="K598" s="2" t="inlineStr">
        <is>
          <t>2026-09-30 14:30</t>
        </is>
      </c>
      <c r="L598" s="6" t="inlineStr">
        <is>
          <t>Válido</t>
        </is>
      </c>
      <c r="M598" s="2">
        <f>IF(L598="Válido","Sim","Não")</f>
        <v/>
      </c>
      <c r="N598" s="2" t="inlineStr"/>
    </row>
    <row r="599">
      <c r="A599" s="2" t="inlineStr">
        <is>
          <t>2Bracos_3000_R1100_150W_2026-09-30_14_30.csv</t>
        </is>
      </c>
      <c r="B599" s="2" t="inlineStr">
        <is>
          <t>150W_3000RPM_R1100</t>
        </is>
      </c>
      <c r="C599" s="2" t="n">
        <v>150</v>
      </c>
      <c r="D599" s="2" t="n">
        <v>3000</v>
      </c>
      <c r="E599" s="3">
        <f>D599*2/60</f>
        <v/>
      </c>
      <c r="F599" s="2" t="inlineStr">
        <is>
          <t>1100</t>
        </is>
      </c>
      <c r="G599" s="2" t="n">
        <v>2</v>
      </c>
      <c r="H599" s="2">
        <f>INDEX(Parametros!$B$2:$B$9,MATCH(G599,Parametros!$A$2:$A$9,0))</f>
        <v/>
      </c>
      <c r="I599" s="4">
        <f>1/(VALUE(MID(F599,1,1))/Parametros!$E$2+VALUE(MID(F599,2,1))/Parametros!$E$3+VALUE(MID(F599,3,1))/Parametros!$E$4+VALUE(MID(F599,4,1))/Parametros!$E$5)</f>
        <v/>
      </c>
      <c r="J599" s="5">
        <f>IF(G599=0,Parametros!$E$8,Parametros!$E$6+Parametros!$E$6*(Parametros!$E$7/G599+I599)/(Parametros!$E$6+Parametros!$E$7/G599+I599))</f>
        <v/>
      </c>
      <c r="K599" s="2" t="inlineStr">
        <is>
          <t>2026-09-30 14:30</t>
        </is>
      </c>
      <c r="L599" s="6" t="inlineStr">
        <is>
          <t>Válido</t>
        </is>
      </c>
      <c r="M599" s="2">
        <f>IF(L599="Válido","Sim","Não")</f>
        <v/>
      </c>
      <c r="N599" s="2" t="inlineStr"/>
    </row>
    <row r="600">
      <c r="A600" s="2" t="inlineStr">
        <is>
          <t>1Bracos_3000_R1100_150W_2026-09-30_14_30.csv</t>
        </is>
      </c>
      <c r="B600" s="2" t="inlineStr">
        <is>
          <t>150W_3000RPM_R1100</t>
        </is>
      </c>
      <c r="C600" s="2" t="n">
        <v>150</v>
      </c>
      <c r="D600" s="2" t="n">
        <v>3000</v>
      </c>
      <c r="E600" s="3">
        <f>D600*2/60</f>
        <v/>
      </c>
      <c r="F600" s="2" t="inlineStr">
        <is>
          <t>1100</t>
        </is>
      </c>
      <c r="G600" s="2" t="n">
        <v>1</v>
      </c>
      <c r="H600" s="2">
        <f>INDEX(Parametros!$B$2:$B$9,MATCH(G600,Parametros!$A$2:$A$9,0))</f>
        <v/>
      </c>
      <c r="I600" s="4">
        <f>1/(VALUE(MID(F600,1,1))/Parametros!$E$2+VALUE(MID(F600,2,1))/Parametros!$E$3+VALUE(MID(F600,3,1))/Parametros!$E$4+VALUE(MID(F600,4,1))/Parametros!$E$5)</f>
        <v/>
      </c>
      <c r="J600" s="5">
        <f>IF(G600=0,Parametros!$E$8,Parametros!$E$6+Parametros!$E$6*(Parametros!$E$7/G600+I600)/(Parametros!$E$6+Parametros!$E$7/G600+I600))</f>
        <v/>
      </c>
      <c r="K600" s="2" t="inlineStr">
        <is>
          <t>2026-09-30 14:30</t>
        </is>
      </c>
      <c r="L600" s="6" t="inlineStr">
        <is>
          <t>Válido</t>
        </is>
      </c>
      <c r="M600" s="2">
        <f>IF(L600="Válido","Sim","Não")</f>
        <v/>
      </c>
      <c r="N600" s="2" t="inlineStr"/>
    </row>
    <row r="601">
      <c r="A601" s="2" t="inlineStr">
        <is>
          <t>0Bracos_3000_R1100_150W_2026-09-30_14_30.csv</t>
        </is>
      </c>
      <c r="B601" s="2" t="inlineStr">
        <is>
          <t>150W_3000RPM_R1100</t>
        </is>
      </c>
      <c r="C601" s="2" t="n">
        <v>150</v>
      </c>
      <c r="D601" s="2" t="n">
        <v>3000</v>
      </c>
      <c r="E601" s="3">
        <f>D601*2/60</f>
        <v/>
      </c>
      <c r="F601" s="2" t="inlineStr">
        <is>
          <t>1100</t>
        </is>
      </c>
      <c r="G601" s="2" t="n">
        <v>0</v>
      </c>
      <c r="H601" s="2">
        <f>INDEX(Parametros!$B$2:$B$9,MATCH(G601,Parametros!$A$2:$A$9,0))</f>
        <v/>
      </c>
      <c r="I601" s="4">
        <f>1/(VALUE(MID(F601,1,1))/Parametros!$E$2+VALUE(MID(F601,2,1))/Parametros!$E$3+VALUE(MID(F601,3,1))/Parametros!$E$4+VALUE(MID(F601,4,1))/Parametros!$E$5)</f>
        <v/>
      </c>
      <c r="J601" s="5">
        <f>IF(G601=0,Parametros!$E$8,Parametros!$E$6+Parametros!$E$6*(Parametros!$E$7/G601+I601)/(Parametros!$E$6+Parametros!$E$7/G601+I601))</f>
        <v/>
      </c>
      <c r="K601" s="2" t="inlineStr">
        <is>
          <t>2026-09-30 14:30</t>
        </is>
      </c>
      <c r="L601" s="6" t="inlineStr">
        <is>
          <t>Válido</t>
        </is>
      </c>
      <c r="M601" s="2">
        <f>IF(L601="Válido","Sim","Não")</f>
        <v/>
      </c>
      <c r="N601" s="2" t="inlineStr"/>
    </row>
    <row r="602">
      <c r="A602" s="2" t="inlineStr">
        <is>
          <t>7Bracos_3000_R1101_150W_2026-10-09_12_20.csv</t>
        </is>
      </c>
      <c r="B602" s="2" t="inlineStr">
        <is>
          <t>150W_3000RPM_R1101</t>
        </is>
      </c>
      <c r="C602" s="2" t="n">
        <v>150</v>
      </c>
      <c r="D602" s="2" t="n">
        <v>3000</v>
      </c>
      <c r="E602" s="3">
        <f>D602*2/60</f>
        <v/>
      </c>
      <c r="F602" s="2" t="inlineStr">
        <is>
          <t>1101</t>
        </is>
      </c>
      <c r="G602" s="2" t="n">
        <v>7</v>
      </c>
      <c r="H602" s="2">
        <f>INDEX(Parametros!$B$2:$B$9,MATCH(G602,Parametros!$A$2:$A$9,0))</f>
        <v/>
      </c>
      <c r="I602" s="4">
        <f>1/(VALUE(MID(F602,1,1))/Parametros!$E$2+VALUE(MID(F602,2,1))/Parametros!$E$3+VALUE(MID(F602,3,1))/Parametros!$E$4+VALUE(MID(F602,4,1))/Parametros!$E$5)</f>
        <v/>
      </c>
      <c r="J602" s="5">
        <f>IF(G602=0,Parametros!$E$8,Parametros!$E$6+Parametros!$E$6*(Parametros!$E$7/G602+I602)/(Parametros!$E$6+Parametros!$E$7/G602+I602))</f>
        <v/>
      </c>
      <c r="K602" s="2" t="inlineStr">
        <is>
          <t>2026-10-09 12:20</t>
        </is>
      </c>
      <c r="L602" s="6" t="inlineStr">
        <is>
          <t>Válido</t>
        </is>
      </c>
      <c r="M602" s="2">
        <f>IF(L602="Válido","Sim","Não")</f>
        <v/>
      </c>
      <c r="N602" s="2" t="inlineStr"/>
    </row>
    <row r="603">
      <c r="A603" s="2" t="inlineStr">
        <is>
          <t>6Bracos_3000_R1101_150W_2026-10-09_12_20.csv</t>
        </is>
      </c>
      <c r="B603" s="2" t="inlineStr">
        <is>
          <t>150W_3000RPM_R1101</t>
        </is>
      </c>
      <c r="C603" s="2" t="n">
        <v>150</v>
      </c>
      <c r="D603" s="2" t="n">
        <v>3000</v>
      </c>
      <c r="E603" s="3">
        <f>D603*2/60</f>
        <v/>
      </c>
      <c r="F603" s="2" t="inlineStr">
        <is>
          <t>1101</t>
        </is>
      </c>
      <c r="G603" s="2" t="n">
        <v>6</v>
      </c>
      <c r="H603" s="2">
        <f>INDEX(Parametros!$B$2:$B$9,MATCH(G603,Parametros!$A$2:$A$9,0))</f>
        <v/>
      </c>
      <c r="I603" s="4">
        <f>1/(VALUE(MID(F603,1,1))/Parametros!$E$2+VALUE(MID(F603,2,1))/Parametros!$E$3+VALUE(MID(F603,3,1))/Parametros!$E$4+VALUE(MID(F603,4,1))/Parametros!$E$5)</f>
        <v/>
      </c>
      <c r="J603" s="5">
        <f>IF(G603=0,Parametros!$E$8,Parametros!$E$6+Parametros!$E$6*(Parametros!$E$7/G603+I603)/(Parametros!$E$6+Parametros!$E$7/G603+I603))</f>
        <v/>
      </c>
      <c r="K603" s="2" t="inlineStr">
        <is>
          <t>2026-10-09 12:20</t>
        </is>
      </c>
      <c r="L603" s="6" t="inlineStr">
        <is>
          <t>Válido</t>
        </is>
      </c>
      <c r="M603" s="2">
        <f>IF(L603="Válido","Sim","Não")</f>
        <v/>
      </c>
      <c r="N603" s="2" t="inlineStr"/>
    </row>
    <row r="604">
      <c r="A604" s="2" t="inlineStr">
        <is>
          <t>5Bracos_3000_R1101_150W_2026-10-09_12_20.csv</t>
        </is>
      </c>
      <c r="B604" s="2" t="inlineStr">
        <is>
          <t>150W_3000RPM_R1101</t>
        </is>
      </c>
      <c r="C604" s="2" t="n">
        <v>150</v>
      </c>
      <c r="D604" s="2" t="n">
        <v>3000</v>
      </c>
      <c r="E604" s="3">
        <f>D604*2/60</f>
        <v/>
      </c>
      <c r="F604" s="2" t="inlineStr">
        <is>
          <t>1101</t>
        </is>
      </c>
      <c r="G604" s="2" t="n">
        <v>5</v>
      </c>
      <c r="H604" s="2">
        <f>INDEX(Parametros!$B$2:$B$9,MATCH(G604,Parametros!$A$2:$A$9,0))</f>
        <v/>
      </c>
      <c r="I604" s="4">
        <f>1/(VALUE(MID(F604,1,1))/Parametros!$E$2+VALUE(MID(F604,2,1))/Parametros!$E$3+VALUE(MID(F604,3,1))/Parametros!$E$4+VALUE(MID(F604,4,1))/Parametros!$E$5)</f>
        <v/>
      </c>
      <c r="J604" s="5">
        <f>IF(G604=0,Parametros!$E$8,Parametros!$E$6+Parametros!$E$6*(Parametros!$E$7/G604+I604)/(Parametros!$E$6+Parametros!$E$7/G604+I604))</f>
        <v/>
      </c>
      <c r="K604" s="2" t="inlineStr">
        <is>
          <t>2026-10-09 12:20</t>
        </is>
      </c>
      <c r="L604" s="6" t="inlineStr">
        <is>
          <t>Válido</t>
        </is>
      </c>
      <c r="M604" s="2">
        <f>IF(L604="Válido","Sim","Não")</f>
        <v/>
      </c>
      <c r="N604" s="2" t="inlineStr"/>
    </row>
    <row r="605">
      <c r="A605" s="2" t="inlineStr">
        <is>
          <t>4Bracos_3000_R1101_150W_2026-10-09_12_20.csv</t>
        </is>
      </c>
      <c r="B605" s="2" t="inlineStr">
        <is>
          <t>150W_3000RPM_R1101</t>
        </is>
      </c>
      <c r="C605" s="2" t="n">
        <v>150</v>
      </c>
      <c r="D605" s="2" t="n">
        <v>3000</v>
      </c>
      <c r="E605" s="3">
        <f>D605*2/60</f>
        <v/>
      </c>
      <c r="F605" s="2" t="inlineStr">
        <is>
          <t>1101</t>
        </is>
      </c>
      <c r="G605" s="2" t="n">
        <v>4</v>
      </c>
      <c r="H605" s="2">
        <f>INDEX(Parametros!$B$2:$B$9,MATCH(G605,Parametros!$A$2:$A$9,0))</f>
        <v/>
      </c>
      <c r="I605" s="4">
        <f>1/(VALUE(MID(F605,1,1))/Parametros!$E$2+VALUE(MID(F605,2,1))/Parametros!$E$3+VALUE(MID(F605,3,1))/Parametros!$E$4+VALUE(MID(F605,4,1))/Parametros!$E$5)</f>
        <v/>
      </c>
      <c r="J605" s="5">
        <f>IF(G605=0,Parametros!$E$8,Parametros!$E$6+Parametros!$E$6*(Parametros!$E$7/G605+I605)/(Parametros!$E$6+Parametros!$E$7/G605+I605))</f>
        <v/>
      </c>
      <c r="K605" s="2" t="inlineStr">
        <is>
          <t>2026-10-09 12:20</t>
        </is>
      </c>
      <c r="L605" s="6" t="inlineStr">
        <is>
          <t>Válido</t>
        </is>
      </c>
      <c r="M605" s="2">
        <f>IF(L605="Válido","Sim","Não")</f>
        <v/>
      </c>
      <c r="N605" s="2" t="inlineStr"/>
    </row>
    <row r="606">
      <c r="A606" s="2" t="inlineStr">
        <is>
          <t>3Bracos_3000_R1101_150W_2026-10-09_12_20.csv</t>
        </is>
      </c>
      <c r="B606" s="2" t="inlineStr">
        <is>
          <t>150W_3000RPM_R1101</t>
        </is>
      </c>
      <c r="C606" s="2" t="n">
        <v>150</v>
      </c>
      <c r="D606" s="2" t="n">
        <v>3000</v>
      </c>
      <c r="E606" s="3">
        <f>D606*2/60</f>
        <v/>
      </c>
      <c r="F606" s="2" t="inlineStr">
        <is>
          <t>1101</t>
        </is>
      </c>
      <c r="G606" s="2" t="n">
        <v>3</v>
      </c>
      <c r="H606" s="2">
        <f>INDEX(Parametros!$B$2:$B$9,MATCH(G606,Parametros!$A$2:$A$9,0))</f>
        <v/>
      </c>
      <c r="I606" s="4">
        <f>1/(VALUE(MID(F606,1,1))/Parametros!$E$2+VALUE(MID(F606,2,1))/Parametros!$E$3+VALUE(MID(F606,3,1))/Parametros!$E$4+VALUE(MID(F606,4,1))/Parametros!$E$5)</f>
        <v/>
      </c>
      <c r="J606" s="5">
        <f>IF(G606=0,Parametros!$E$8,Parametros!$E$6+Parametros!$E$6*(Parametros!$E$7/G606+I606)/(Parametros!$E$6+Parametros!$E$7/G606+I606))</f>
        <v/>
      </c>
      <c r="K606" s="2" t="inlineStr">
        <is>
          <t>2026-10-09 12:20</t>
        </is>
      </c>
      <c r="L606" s="6" t="inlineStr">
        <is>
          <t>Válido</t>
        </is>
      </c>
      <c r="M606" s="2">
        <f>IF(L606="Válido","Sim","Não")</f>
        <v/>
      </c>
      <c r="N606" s="2" t="inlineStr"/>
    </row>
    <row r="607">
      <c r="A607" s="2" t="inlineStr">
        <is>
          <t>2Bracos_3000_R1101_150W_2026-10-09_12_20.csv</t>
        </is>
      </c>
      <c r="B607" s="2" t="inlineStr">
        <is>
          <t>150W_3000RPM_R1101</t>
        </is>
      </c>
      <c r="C607" s="2" t="n">
        <v>150</v>
      </c>
      <c r="D607" s="2" t="n">
        <v>3000</v>
      </c>
      <c r="E607" s="3">
        <f>D607*2/60</f>
        <v/>
      </c>
      <c r="F607" s="2" t="inlineStr">
        <is>
          <t>1101</t>
        </is>
      </c>
      <c r="G607" s="2" t="n">
        <v>2</v>
      </c>
      <c r="H607" s="2">
        <f>INDEX(Parametros!$B$2:$B$9,MATCH(G607,Parametros!$A$2:$A$9,0))</f>
        <v/>
      </c>
      <c r="I607" s="4">
        <f>1/(VALUE(MID(F607,1,1))/Parametros!$E$2+VALUE(MID(F607,2,1))/Parametros!$E$3+VALUE(MID(F607,3,1))/Parametros!$E$4+VALUE(MID(F607,4,1))/Parametros!$E$5)</f>
        <v/>
      </c>
      <c r="J607" s="5">
        <f>IF(G607=0,Parametros!$E$8,Parametros!$E$6+Parametros!$E$6*(Parametros!$E$7/G607+I607)/(Parametros!$E$6+Parametros!$E$7/G607+I607))</f>
        <v/>
      </c>
      <c r="K607" s="2" t="inlineStr">
        <is>
          <t>2026-10-09 12:20</t>
        </is>
      </c>
      <c r="L607" s="6" t="inlineStr">
        <is>
          <t>Válido</t>
        </is>
      </c>
      <c r="M607" s="2">
        <f>IF(L607="Válido","Sim","Não")</f>
        <v/>
      </c>
      <c r="N607" s="2" t="inlineStr"/>
    </row>
    <row r="608">
      <c r="A608" s="2" t="inlineStr">
        <is>
          <t>1Bracos_3000_R1101_150W_2026-10-09_12_20.csv</t>
        </is>
      </c>
      <c r="B608" s="2" t="inlineStr">
        <is>
          <t>150W_3000RPM_R1101</t>
        </is>
      </c>
      <c r="C608" s="2" t="n">
        <v>150</v>
      </c>
      <c r="D608" s="2" t="n">
        <v>3000</v>
      </c>
      <c r="E608" s="3">
        <f>D608*2/60</f>
        <v/>
      </c>
      <c r="F608" s="2" t="inlineStr">
        <is>
          <t>1101</t>
        </is>
      </c>
      <c r="G608" s="2" t="n">
        <v>1</v>
      </c>
      <c r="H608" s="2">
        <f>INDEX(Parametros!$B$2:$B$9,MATCH(G608,Parametros!$A$2:$A$9,0))</f>
        <v/>
      </c>
      <c r="I608" s="4">
        <f>1/(VALUE(MID(F608,1,1))/Parametros!$E$2+VALUE(MID(F608,2,1))/Parametros!$E$3+VALUE(MID(F608,3,1))/Parametros!$E$4+VALUE(MID(F608,4,1))/Parametros!$E$5)</f>
        <v/>
      </c>
      <c r="J608" s="5">
        <f>IF(G608=0,Parametros!$E$8,Parametros!$E$6+Parametros!$E$6*(Parametros!$E$7/G608+I608)/(Parametros!$E$6+Parametros!$E$7/G608+I608))</f>
        <v/>
      </c>
      <c r="K608" s="2" t="inlineStr">
        <is>
          <t>2026-10-09 12:20</t>
        </is>
      </c>
      <c r="L608" s="6" t="inlineStr">
        <is>
          <t>Válido</t>
        </is>
      </c>
      <c r="M608" s="2">
        <f>IF(L608="Válido","Sim","Não")</f>
        <v/>
      </c>
      <c r="N608" s="2" t="inlineStr"/>
    </row>
    <row r="609">
      <c r="A609" s="2" t="inlineStr">
        <is>
          <t>0Bracos_3000_R1101_150W_2026-10-09_12_20.csv</t>
        </is>
      </c>
      <c r="B609" s="2" t="inlineStr">
        <is>
          <t>150W_3000RPM_R1101</t>
        </is>
      </c>
      <c r="C609" s="2" t="n">
        <v>150</v>
      </c>
      <c r="D609" s="2" t="n">
        <v>3000</v>
      </c>
      <c r="E609" s="3">
        <f>D609*2/60</f>
        <v/>
      </c>
      <c r="F609" s="2" t="inlineStr">
        <is>
          <t>1101</t>
        </is>
      </c>
      <c r="G609" s="2" t="n">
        <v>0</v>
      </c>
      <c r="H609" s="2">
        <f>INDEX(Parametros!$B$2:$B$9,MATCH(G609,Parametros!$A$2:$A$9,0))</f>
        <v/>
      </c>
      <c r="I609" s="4">
        <f>1/(VALUE(MID(F609,1,1))/Parametros!$E$2+VALUE(MID(F609,2,1))/Parametros!$E$3+VALUE(MID(F609,3,1))/Parametros!$E$4+VALUE(MID(F609,4,1))/Parametros!$E$5)</f>
        <v/>
      </c>
      <c r="J609" s="5">
        <f>IF(G609=0,Parametros!$E$8,Parametros!$E$6+Parametros!$E$6*(Parametros!$E$7/G609+I609)/(Parametros!$E$6+Parametros!$E$7/G609+I609))</f>
        <v/>
      </c>
      <c r="K609" s="2" t="inlineStr">
        <is>
          <t>2026-10-09 12:20</t>
        </is>
      </c>
      <c r="L609" s="6" t="inlineStr">
        <is>
          <t>Válido</t>
        </is>
      </c>
      <c r="M609" s="2">
        <f>IF(L609="Válido","Sim","Não")</f>
        <v/>
      </c>
      <c r="N609" s="2" t="inlineStr"/>
    </row>
    <row r="610">
      <c r="A610" s="2" t="inlineStr">
        <is>
          <t>7Bracos_3000_R1101_150W_2026-09-30_14_30.csv</t>
        </is>
      </c>
      <c r="B610" s="2" t="inlineStr">
        <is>
          <t>150W_3000RPM_R1101</t>
        </is>
      </c>
      <c r="C610" s="2" t="n">
        <v>150</v>
      </c>
      <c r="D610" s="2" t="n">
        <v>3000</v>
      </c>
      <c r="E610" s="3">
        <f>D610*2/60</f>
        <v/>
      </c>
      <c r="F610" s="2" t="inlineStr">
        <is>
          <t>1101</t>
        </is>
      </c>
      <c r="G610" s="2" t="n">
        <v>7</v>
      </c>
      <c r="H610" s="2">
        <f>INDEX(Parametros!$B$2:$B$9,MATCH(G610,Parametros!$A$2:$A$9,0))</f>
        <v/>
      </c>
      <c r="I610" s="4">
        <f>1/(VALUE(MID(F610,1,1))/Parametros!$E$2+VALUE(MID(F610,2,1))/Parametros!$E$3+VALUE(MID(F610,3,1))/Parametros!$E$4+VALUE(MID(F610,4,1))/Parametros!$E$5)</f>
        <v/>
      </c>
      <c r="J610" s="5">
        <f>IF(G610=0,Parametros!$E$8,Parametros!$E$6+Parametros!$E$6*(Parametros!$E$7/G610+I610)/(Parametros!$E$6+Parametros!$E$7/G610+I610))</f>
        <v/>
      </c>
      <c r="K610" s="2" t="inlineStr">
        <is>
          <t>2026-09-30 14:30</t>
        </is>
      </c>
      <c r="L610" s="8" t="inlineStr">
        <is>
          <t>Substituído (refeito)</t>
        </is>
      </c>
      <c r="M610" s="2">
        <f>IF(L610="Válido","Sim","Não")</f>
        <v/>
      </c>
      <c r="N610" s="2" t="inlineStr">
        <is>
          <t>Existe ensaio mais novo para a mesma condição</t>
        </is>
      </c>
    </row>
    <row r="611">
      <c r="A611" s="2" t="inlineStr">
        <is>
          <t>6Bracos_3000_R1101_150W_2026-09-30_14_30.csv</t>
        </is>
      </c>
      <c r="B611" s="2" t="inlineStr">
        <is>
          <t>150W_3000RPM_R1101</t>
        </is>
      </c>
      <c r="C611" s="2" t="n">
        <v>150</v>
      </c>
      <c r="D611" s="2" t="n">
        <v>3000</v>
      </c>
      <c r="E611" s="3">
        <f>D611*2/60</f>
        <v/>
      </c>
      <c r="F611" s="2" t="inlineStr">
        <is>
          <t>1101</t>
        </is>
      </c>
      <c r="G611" s="2" t="n">
        <v>6</v>
      </c>
      <c r="H611" s="2">
        <f>INDEX(Parametros!$B$2:$B$9,MATCH(G611,Parametros!$A$2:$A$9,0))</f>
        <v/>
      </c>
      <c r="I611" s="4">
        <f>1/(VALUE(MID(F611,1,1))/Parametros!$E$2+VALUE(MID(F611,2,1))/Parametros!$E$3+VALUE(MID(F611,3,1))/Parametros!$E$4+VALUE(MID(F611,4,1))/Parametros!$E$5)</f>
        <v/>
      </c>
      <c r="J611" s="5">
        <f>IF(G611=0,Parametros!$E$8,Parametros!$E$6+Parametros!$E$6*(Parametros!$E$7/G611+I611)/(Parametros!$E$6+Parametros!$E$7/G611+I611))</f>
        <v/>
      </c>
      <c r="K611" s="2" t="inlineStr">
        <is>
          <t>2026-09-30 14:30</t>
        </is>
      </c>
      <c r="L611" s="8" t="inlineStr">
        <is>
          <t>Substituído (refeito)</t>
        </is>
      </c>
      <c r="M611" s="2">
        <f>IF(L611="Válido","Sim","Não")</f>
        <v/>
      </c>
      <c r="N611" s="2" t="inlineStr">
        <is>
          <t>Existe ensaio mais novo para a mesma condição</t>
        </is>
      </c>
    </row>
    <row r="612">
      <c r="A612" s="2" t="inlineStr">
        <is>
          <t>5Bracos_3000_R1101_150W_2026-09-30_14_30.csv</t>
        </is>
      </c>
      <c r="B612" s="2" t="inlineStr">
        <is>
          <t>150W_3000RPM_R1101</t>
        </is>
      </c>
      <c r="C612" s="2" t="n">
        <v>150</v>
      </c>
      <c r="D612" s="2" t="n">
        <v>3000</v>
      </c>
      <c r="E612" s="3">
        <f>D612*2/60</f>
        <v/>
      </c>
      <c r="F612" s="2" t="inlineStr">
        <is>
          <t>1101</t>
        </is>
      </c>
      <c r="G612" s="2" t="n">
        <v>5</v>
      </c>
      <c r="H612" s="2">
        <f>INDEX(Parametros!$B$2:$B$9,MATCH(G612,Parametros!$A$2:$A$9,0))</f>
        <v/>
      </c>
      <c r="I612" s="4">
        <f>1/(VALUE(MID(F612,1,1))/Parametros!$E$2+VALUE(MID(F612,2,1))/Parametros!$E$3+VALUE(MID(F612,3,1))/Parametros!$E$4+VALUE(MID(F612,4,1))/Parametros!$E$5)</f>
        <v/>
      </c>
      <c r="J612" s="5">
        <f>IF(G612=0,Parametros!$E$8,Parametros!$E$6+Parametros!$E$6*(Parametros!$E$7/G612+I612)/(Parametros!$E$6+Parametros!$E$7/G612+I612))</f>
        <v/>
      </c>
      <c r="K612" s="2" t="inlineStr">
        <is>
          <t>2026-09-30 14:30</t>
        </is>
      </c>
      <c r="L612" s="8" t="inlineStr">
        <is>
          <t>Substituído (refeito)</t>
        </is>
      </c>
      <c r="M612" s="2">
        <f>IF(L612="Válido","Sim","Não")</f>
        <v/>
      </c>
      <c r="N612" s="2" t="inlineStr">
        <is>
          <t>Existe ensaio mais novo para a mesma condição</t>
        </is>
      </c>
    </row>
    <row r="613">
      <c r="A613" s="2" t="inlineStr">
        <is>
          <t>4Bracos_3000_R1101_150W_2026-09-30_14_30.csv</t>
        </is>
      </c>
      <c r="B613" s="2" t="inlineStr">
        <is>
          <t>150W_3000RPM_R1101</t>
        </is>
      </c>
      <c r="C613" s="2" t="n">
        <v>150</v>
      </c>
      <c r="D613" s="2" t="n">
        <v>3000</v>
      </c>
      <c r="E613" s="3">
        <f>D613*2/60</f>
        <v/>
      </c>
      <c r="F613" s="2" t="inlineStr">
        <is>
          <t>1101</t>
        </is>
      </c>
      <c r="G613" s="2" t="n">
        <v>4</v>
      </c>
      <c r="H613" s="2">
        <f>INDEX(Parametros!$B$2:$B$9,MATCH(G613,Parametros!$A$2:$A$9,0))</f>
        <v/>
      </c>
      <c r="I613" s="4">
        <f>1/(VALUE(MID(F613,1,1))/Parametros!$E$2+VALUE(MID(F613,2,1))/Parametros!$E$3+VALUE(MID(F613,3,1))/Parametros!$E$4+VALUE(MID(F613,4,1))/Parametros!$E$5)</f>
        <v/>
      </c>
      <c r="J613" s="5">
        <f>IF(G613=0,Parametros!$E$8,Parametros!$E$6+Parametros!$E$6*(Parametros!$E$7/G613+I613)/(Parametros!$E$6+Parametros!$E$7/G613+I613))</f>
        <v/>
      </c>
      <c r="K613" s="2" t="inlineStr">
        <is>
          <t>2026-09-30 14:30</t>
        </is>
      </c>
      <c r="L613" s="8" t="inlineStr">
        <is>
          <t>Substituído (refeito)</t>
        </is>
      </c>
      <c r="M613" s="2">
        <f>IF(L613="Válido","Sim","Não")</f>
        <v/>
      </c>
      <c r="N613" s="2" t="inlineStr">
        <is>
          <t>Existe ensaio mais novo para a mesma condição</t>
        </is>
      </c>
    </row>
    <row r="614">
      <c r="A614" s="2" t="inlineStr">
        <is>
          <t>3Bracos_3000_R1101_150W_2026-09-30_14_30.csv</t>
        </is>
      </c>
      <c r="B614" s="2" t="inlineStr">
        <is>
          <t>150W_3000RPM_R1101</t>
        </is>
      </c>
      <c r="C614" s="2" t="n">
        <v>150</v>
      </c>
      <c r="D614" s="2" t="n">
        <v>3000</v>
      </c>
      <c r="E614" s="3">
        <f>D614*2/60</f>
        <v/>
      </c>
      <c r="F614" s="2" t="inlineStr">
        <is>
          <t>1101</t>
        </is>
      </c>
      <c r="G614" s="2" t="n">
        <v>3</v>
      </c>
      <c r="H614" s="2">
        <f>INDEX(Parametros!$B$2:$B$9,MATCH(G614,Parametros!$A$2:$A$9,0))</f>
        <v/>
      </c>
      <c r="I614" s="4">
        <f>1/(VALUE(MID(F614,1,1))/Parametros!$E$2+VALUE(MID(F614,2,1))/Parametros!$E$3+VALUE(MID(F614,3,1))/Parametros!$E$4+VALUE(MID(F614,4,1))/Parametros!$E$5)</f>
        <v/>
      </c>
      <c r="J614" s="5">
        <f>IF(G614=0,Parametros!$E$8,Parametros!$E$6+Parametros!$E$6*(Parametros!$E$7/G614+I614)/(Parametros!$E$6+Parametros!$E$7/G614+I614))</f>
        <v/>
      </c>
      <c r="K614" s="2" t="inlineStr">
        <is>
          <t>2026-09-30 14:30</t>
        </is>
      </c>
      <c r="L614" s="8" t="inlineStr">
        <is>
          <t>Substituído (refeito)</t>
        </is>
      </c>
      <c r="M614" s="2">
        <f>IF(L614="Válido","Sim","Não")</f>
        <v/>
      </c>
      <c r="N614" s="2" t="inlineStr">
        <is>
          <t>Existe ensaio mais novo para a mesma condição</t>
        </is>
      </c>
    </row>
    <row r="615">
      <c r="A615" s="2" t="inlineStr">
        <is>
          <t>2Bracos_3000_R1101_150W_2026-09-30_14_30.csv</t>
        </is>
      </c>
      <c r="B615" s="2" t="inlineStr">
        <is>
          <t>150W_3000RPM_R1101</t>
        </is>
      </c>
      <c r="C615" s="2" t="n">
        <v>150</v>
      </c>
      <c r="D615" s="2" t="n">
        <v>3000</v>
      </c>
      <c r="E615" s="3">
        <f>D615*2/60</f>
        <v/>
      </c>
      <c r="F615" s="2" t="inlineStr">
        <is>
          <t>1101</t>
        </is>
      </c>
      <c r="G615" s="2" t="n">
        <v>2</v>
      </c>
      <c r="H615" s="2">
        <f>INDEX(Parametros!$B$2:$B$9,MATCH(G615,Parametros!$A$2:$A$9,0))</f>
        <v/>
      </c>
      <c r="I615" s="4">
        <f>1/(VALUE(MID(F615,1,1))/Parametros!$E$2+VALUE(MID(F615,2,1))/Parametros!$E$3+VALUE(MID(F615,3,1))/Parametros!$E$4+VALUE(MID(F615,4,1))/Parametros!$E$5)</f>
        <v/>
      </c>
      <c r="J615" s="5">
        <f>IF(G615=0,Parametros!$E$8,Parametros!$E$6+Parametros!$E$6*(Parametros!$E$7/G615+I615)/(Parametros!$E$6+Parametros!$E$7/G615+I615))</f>
        <v/>
      </c>
      <c r="K615" s="2" t="inlineStr">
        <is>
          <t>2026-09-30 14:30</t>
        </is>
      </c>
      <c r="L615" s="8" t="inlineStr">
        <is>
          <t>Substituído (refeito)</t>
        </is>
      </c>
      <c r="M615" s="2">
        <f>IF(L615="Válido","Sim","Não")</f>
        <v/>
      </c>
      <c r="N615" s="2" t="inlineStr">
        <is>
          <t>Existe ensaio mais novo para a mesma condição</t>
        </is>
      </c>
    </row>
    <row r="616">
      <c r="A616" s="2" t="inlineStr">
        <is>
          <t>1Bracos_3000_R1101_150W_2026-09-30_14_30.csv</t>
        </is>
      </c>
      <c r="B616" s="2" t="inlineStr">
        <is>
          <t>150W_3000RPM_R1101</t>
        </is>
      </c>
      <c r="C616" s="2" t="n">
        <v>150</v>
      </c>
      <c r="D616" s="2" t="n">
        <v>3000</v>
      </c>
      <c r="E616" s="3">
        <f>D616*2/60</f>
        <v/>
      </c>
      <c r="F616" s="2" t="inlineStr">
        <is>
          <t>1101</t>
        </is>
      </c>
      <c r="G616" s="2" t="n">
        <v>1</v>
      </c>
      <c r="H616" s="2">
        <f>INDEX(Parametros!$B$2:$B$9,MATCH(G616,Parametros!$A$2:$A$9,0))</f>
        <v/>
      </c>
      <c r="I616" s="4">
        <f>1/(VALUE(MID(F616,1,1))/Parametros!$E$2+VALUE(MID(F616,2,1))/Parametros!$E$3+VALUE(MID(F616,3,1))/Parametros!$E$4+VALUE(MID(F616,4,1))/Parametros!$E$5)</f>
        <v/>
      </c>
      <c r="J616" s="5">
        <f>IF(G616=0,Parametros!$E$8,Parametros!$E$6+Parametros!$E$6*(Parametros!$E$7/G616+I616)/(Parametros!$E$6+Parametros!$E$7/G616+I616))</f>
        <v/>
      </c>
      <c r="K616" s="2" t="inlineStr">
        <is>
          <t>2026-09-30 14:30</t>
        </is>
      </c>
      <c r="L616" s="8" t="inlineStr">
        <is>
          <t>Substituído (refeito)</t>
        </is>
      </c>
      <c r="M616" s="2">
        <f>IF(L616="Válido","Sim","Não")</f>
        <v/>
      </c>
      <c r="N616" s="2" t="inlineStr">
        <is>
          <t>Existe ensaio mais novo para a mesma condição</t>
        </is>
      </c>
    </row>
    <row r="617">
      <c r="A617" s="2" t="inlineStr">
        <is>
          <t>0Bracos_3000_R1101_150W_2026-09-30_14_30.csv</t>
        </is>
      </c>
      <c r="B617" s="2" t="inlineStr">
        <is>
          <t>150W_3000RPM_R1101</t>
        </is>
      </c>
      <c r="C617" s="2" t="n">
        <v>150</v>
      </c>
      <c r="D617" s="2" t="n">
        <v>3000</v>
      </c>
      <c r="E617" s="3">
        <f>D617*2/60</f>
        <v/>
      </c>
      <c r="F617" s="2" t="inlineStr">
        <is>
          <t>1101</t>
        </is>
      </c>
      <c r="G617" s="2" t="n">
        <v>0</v>
      </c>
      <c r="H617" s="2">
        <f>INDEX(Parametros!$B$2:$B$9,MATCH(G617,Parametros!$A$2:$A$9,0))</f>
        <v/>
      </c>
      <c r="I617" s="4">
        <f>1/(VALUE(MID(F617,1,1))/Parametros!$E$2+VALUE(MID(F617,2,1))/Parametros!$E$3+VALUE(MID(F617,3,1))/Parametros!$E$4+VALUE(MID(F617,4,1))/Parametros!$E$5)</f>
        <v/>
      </c>
      <c r="J617" s="5">
        <f>IF(G617=0,Parametros!$E$8,Parametros!$E$6+Parametros!$E$6*(Parametros!$E$7/G617+I617)/(Parametros!$E$6+Parametros!$E$7/G617+I617))</f>
        <v/>
      </c>
      <c r="K617" s="2" t="inlineStr">
        <is>
          <t>2026-09-30 14:30</t>
        </is>
      </c>
      <c r="L617" s="8" t="inlineStr">
        <is>
          <t>Substituído (refeito)</t>
        </is>
      </c>
      <c r="M617" s="2">
        <f>IF(L617="Válido","Sim","Não")</f>
        <v/>
      </c>
      <c r="N617" s="2" t="inlineStr">
        <is>
          <t>Existe ensaio mais novo para a mesma condição</t>
        </is>
      </c>
    </row>
    <row r="618">
      <c r="A618" s="2" t="inlineStr">
        <is>
          <t>7Bracos_3000_R1110_150W_2026-09-30_14_30.csv</t>
        </is>
      </c>
      <c r="B618" s="2" t="inlineStr">
        <is>
          <t>150W_3000RPM_R1110</t>
        </is>
      </c>
      <c r="C618" s="2" t="n">
        <v>150</v>
      </c>
      <c r="D618" s="2" t="n">
        <v>3000</v>
      </c>
      <c r="E618" s="3">
        <f>D618*2/60</f>
        <v/>
      </c>
      <c r="F618" s="2" t="inlineStr">
        <is>
          <t>1110</t>
        </is>
      </c>
      <c r="G618" s="2" t="n">
        <v>7</v>
      </c>
      <c r="H618" s="2">
        <f>INDEX(Parametros!$B$2:$B$9,MATCH(G618,Parametros!$A$2:$A$9,0))</f>
        <v/>
      </c>
      <c r="I618" s="4">
        <f>1/(VALUE(MID(F618,1,1))/Parametros!$E$2+VALUE(MID(F618,2,1))/Parametros!$E$3+VALUE(MID(F618,3,1))/Parametros!$E$4+VALUE(MID(F618,4,1))/Parametros!$E$5)</f>
        <v/>
      </c>
      <c r="J618" s="5">
        <f>IF(G618=0,Parametros!$E$8,Parametros!$E$6+Parametros!$E$6*(Parametros!$E$7/G618+I618)/(Parametros!$E$6+Parametros!$E$7/G618+I618))</f>
        <v/>
      </c>
      <c r="K618" s="2" t="inlineStr">
        <is>
          <t>2026-09-30 14:30</t>
        </is>
      </c>
      <c r="L618" s="6" t="inlineStr">
        <is>
          <t>Válido</t>
        </is>
      </c>
      <c r="M618" s="2">
        <f>IF(L618="Válido","Sim","Não")</f>
        <v/>
      </c>
      <c r="N618" s="2" t="inlineStr"/>
    </row>
    <row r="619">
      <c r="A619" s="2" t="inlineStr">
        <is>
          <t>6Bracos_3000_R1110_150W_2026-09-30_14_30.csv</t>
        </is>
      </c>
      <c r="B619" s="2" t="inlineStr">
        <is>
          <t>150W_3000RPM_R1110</t>
        </is>
      </c>
      <c r="C619" s="2" t="n">
        <v>150</v>
      </c>
      <c r="D619" s="2" t="n">
        <v>3000</v>
      </c>
      <c r="E619" s="3">
        <f>D619*2/60</f>
        <v/>
      </c>
      <c r="F619" s="2" t="inlineStr">
        <is>
          <t>1110</t>
        </is>
      </c>
      <c r="G619" s="2" t="n">
        <v>6</v>
      </c>
      <c r="H619" s="2">
        <f>INDEX(Parametros!$B$2:$B$9,MATCH(G619,Parametros!$A$2:$A$9,0))</f>
        <v/>
      </c>
      <c r="I619" s="4">
        <f>1/(VALUE(MID(F619,1,1))/Parametros!$E$2+VALUE(MID(F619,2,1))/Parametros!$E$3+VALUE(MID(F619,3,1))/Parametros!$E$4+VALUE(MID(F619,4,1))/Parametros!$E$5)</f>
        <v/>
      </c>
      <c r="J619" s="5">
        <f>IF(G619=0,Parametros!$E$8,Parametros!$E$6+Parametros!$E$6*(Parametros!$E$7/G619+I619)/(Parametros!$E$6+Parametros!$E$7/G619+I619))</f>
        <v/>
      </c>
      <c r="K619" s="2" t="inlineStr">
        <is>
          <t>2026-09-30 14:30</t>
        </is>
      </c>
      <c r="L619" s="6" t="inlineStr">
        <is>
          <t>Válido</t>
        </is>
      </c>
      <c r="M619" s="2">
        <f>IF(L619="Válido","Sim","Não")</f>
        <v/>
      </c>
      <c r="N619" s="2" t="inlineStr"/>
    </row>
    <row r="620">
      <c r="A620" s="2" t="inlineStr">
        <is>
          <t>5Bracos_3000_R1110_150W_2026-09-30_14_30.csv</t>
        </is>
      </c>
      <c r="B620" s="2" t="inlineStr">
        <is>
          <t>150W_3000RPM_R1110</t>
        </is>
      </c>
      <c r="C620" s="2" t="n">
        <v>150</v>
      </c>
      <c r="D620" s="2" t="n">
        <v>3000</v>
      </c>
      <c r="E620" s="3">
        <f>D620*2/60</f>
        <v/>
      </c>
      <c r="F620" s="2" t="inlineStr">
        <is>
          <t>1110</t>
        </is>
      </c>
      <c r="G620" s="2" t="n">
        <v>5</v>
      </c>
      <c r="H620" s="2">
        <f>INDEX(Parametros!$B$2:$B$9,MATCH(G620,Parametros!$A$2:$A$9,0))</f>
        <v/>
      </c>
      <c r="I620" s="4">
        <f>1/(VALUE(MID(F620,1,1))/Parametros!$E$2+VALUE(MID(F620,2,1))/Parametros!$E$3+VALUE(MID(F620,3,1))/Parametros!$E$4+VALUE(MID(F620,4,1))/Parametros!$E$5)</f>
        <v/>
      </c>
      <c r="J620" s="5">
        <f>IF(G620=0,Parametros!$E$8,Parametros!$E$6+Parametros!$E$6*(Parametros!$E$7/G620+I620)/(Parametros!$E$6+Parametros!$E$7/G620+I620))</f>
        <v/>
      </c>
      <c r="K620" s="2" t="inlineStr">
        <is>
          <t>2026-09-30 14:30</t>
        </is>
      </c>
      <c r="L620" s="6" t="inlineStr">
        <is>
          <t>Válido</t>
        </is>
      </c>
      <c r="M620" s="2">
        <f>IF(L620="Válido","Sim","Não")</f>
        <v/>
      </c>
      <c r="N620" s="2" t="inlineStr"/>
    </row>
    <row r="621">
      <c r="A621" s="2" t="inlineStr">
        <is>
          <t>4Bracos_3000_R1110_150W_2026-09-30_14_30.csv</t>
        </is>
      </c>
      <c r="B621" s="2" t="inlineStr">
        <is>
          <t>150W_3000RPM_R1110</t>
        </is>
      </c>
      <c r="C621" s="2" t="n">
        <v>150</v>
      </c>
      <c r="D621" s="2" t="n">
        <v>3000</v>
      </c>
      <c r="E621" s="3">
        <f>D621*2/60</f>
        <v/>
      </c>
      <c r="F621" s="2" t="inlineStr">
        <is>
          <t>1110</t>
        </is>
      </c>
      <c r="G621" s="2" t="n">
        <v>4</v>
      </c>
      <c r="H621" s="2">
        <f>INDEX(Parametros!$B$2:$B$9,MATCH(G621,Parametros!$A$2:$A$9,0))</f>
        <v/>
      </c>
      <c r="I621" s="4">
        <f>1/(VALUE(MID(F621,1,1))/Parametros!$E$2+VALUE(MID(F621,2,1))/Parametros!$E$3+VALUE(MID(F621,3,1))/Parametros!$E$4+VALUE(MID(F621,4,1))/Parametros!$E$5)</f>
        <v/>
      </c>
      <c r="J621" s="5">
        <f>IF(G621=0,Parametros!$E$8,Parametros!$E$6+Parametros!$E$6*(Parametros!$E$7/G621+I621)/(Parametros!$E$6+Parametros!$E$7/G621+I621))</f>
        <v/>
      </c>
      <c r="K621" s="2" t="inlineStr">
        <is>
          <t>2026-09-30 14:30</t>
        </is>
      </c>
      <c r="L621" s="6" t="inlineStr">
        <is>
          <t>Válido</t>
        </is>
      </c>
      <c r="M621" s="2">
        <f>IF(L621="Válido","Sim","Não")</f>
        <v/>
      </c>
      <c r="N621" s="2" t="inlineStr"/>
    </row>
    <row r="622">
      <c r="A622" s="2" t="inlineStr">
        <is>
          <t>3Bracos_3000_R1110_150W_2026-09-30_14_30.csv</t>
        </is>
      </c>
      <c r="B622" s="2" t="inlineStr">
        <is>
          <t>150W_3000RPM_R1110</t>
        </is>
      </c>
      <c r="C622" s="2" t="n">
        <v>150</v>
      </c>
      <c r="D622" s="2" t="n">
        <v>3000</v>
      </c>
      <c r="E622" s="3">
        <f>D622*2/60</f>
        <v/>
      </c>
      <c r="F622" s="2" t="inlineStr">
        <is>
          <t>1110</t>
        </is>
      </c>
      <c r="G622" s="2" t="n">
        <v>3</v>
      </c>
      <c r="H622" s="2">
        <f>INDEX(Parametros!$B$2:$B$9,MATCH(G622,Parametros!$A$2:$A$9,0))</f>
        <v/>
      </c>
      <c r="I622" s="4">
        <f>1/(VALUE(MID(F622,1,1))/Parametros!$E$2+VALUE(MID(F622,2,1))/Parametros!$E$3+VALUE(MID(F622,3,1))/Parametros!$E$4+VALUE(MID(F622,4,1))/Parametros!$E$5)</f>
        <v/>
      </c>
      <c r="J622" s="5">
        <f>IF(G622=0,Parametros!$E$8,Parametros!$E$6+Parametros!$E$6*(Parametros!$E$7/G622+I622)/(Parametros!$E$6+Parametros!$E$7/G622+I622))</f>
        <v/>
      </c>
      <c r="K622" s="2" t="inlineStr">
        <is>
          <t>2026-09-30 14:30</t>
        </is>
      </c>
      <c r="L622" s="6" t="inlineStr">
        <is>
          <t>Válido</t>
        </is>
      </c>
      <c r="M622" s="2">
        <f>IF(L622="Válido","Sim","Não")</f>
        <v/>
      </c>
      <c r="N622" s="2" t="inlineStr"/>
    </row>
    <row r="623">
      <c r="A623" s="2" t="inlineStr">
        <is>
          <t>2Bracos_3000_R1110_150W_2026-09-30_14_30.csv</t>
        </is>
      </c>
      <c r="B623" s="2" t="inlineStr">
        <is>
          <t>150W_3000RPM_R1110</t>
        </is>
      </c>
      <c r="C623" s="2" t="n">
        <v>150</v>
      </c>
      <c r="D623" s="2" t="n">
        <v>3000</v>
      </c>
      <c r="E623" s="3">
        <f>D623*2/60</f>
        <v/>
      </c>
      <c r="F623" s="2" t="inlineStr">
        <is>
          <t>1110</t>
        </is>
      </c>
      <c r="G623" s="2" t="n">
        <v>2</v>
      </c>
      <c r="H623" s="2">
        <f>INDEX(Parametros!$B$2:$B$9,MATCH(G623,Parametros!$A$2:$A$9,0))</f>
        <v/>
      </c>
      <c r="I623" s="4">
        <f>1/(VALUE(MID(F623,1,1))/Parametros!$E$2+VALUE(MID(F623,2,1))/Parametros!$E$3+VALUE(MID(F623,3,1))/Parametros!$E$4+VALUE(MID(F623,4,1))/Parametros!$E$5)</f>
        <v/>
      </c>
      <c r="J623" s="5">
        <f>IF(G623=0,Parametros!$E$8,Parametros!$E$6+Parametros!$E$6*(Parametros!$E$7/G623+I623)/(Parametros!$E$6+Parametros!$E$7/G623+I623))</f>
        <v/>
      </c>
      <c r="K623" s="2" t="inlineStr">
        <is>
          <t>2026-09-30 14:30</t>
        </is>
      </c>
      <c r="L623" s="6" t="inlineStr">
        <is>
          <t>Válido</t>
        </is>
      </c>
      <c r="M623" s="2">
        <f>IF(L623="Válido","Sim","Não")</f>
        <v/>
      </c>
      <c r="N623" s="2" t="inlineStr"/>
    </row>
    <row r="624">
      <c r="A624" s="2" t="inlineStr">
        <is>
          <t>1Bracos_3000_R1110_150W_2026-09-30_14_30.csv</t>
        </is>
      </c>
      <c r="B624" s="2" t="inlineStr">
        <is>
          <t>150W_3000RPM_R1110</t>
        </is>
      </c>
      <c r="C624" s="2" t="n">
        <v>150</v>
      </c>
      <c r="D624" s="2" t="n">
        <v>3000</v>
      </c>
      <c r="E624" s="3">
        <f>D624*2/60</f>
        <v/>
      </c>
      <c r="F624" s="2" t="inlineStr">
        <is>
          <t>1110</t>
        </is>
      </c>
      <c r="G624" s="2" t="n">
        <v>1</v>
      </c>
      <c r="H624" s="2">
        <f>INDEX(Parametros!$B$2:$B$9,MATCH(G624,Parametros!$A$2:$A$9,0))</f>
        <v/>
      </c>
      <c r="I624" s="4">
        <f>1/(VALUE(MID(F624,1,1))/Parametros!$E$2+VALUE(MID(F624,2,1))/Parametros!$E$3+VALUE(MID(F624,3,1))/Parametros!$E$4+VALUE(MID(F624,4,1))/Parametros!$E$5)</f>
        <v/>
      </c>
      <c r="J624" s="5">
        <f>IF(G624=0,Parametros!$E$8,Parametros!$E$6+Parametros!$E$6*(Parametros!$E$7/G624+I624)/(Parametros!$E$6+Parametros!$E$7/G624+I624))</f>
        <v/>
      </c>
      <c r="K624" s="2" t="inlineStr">
        <is>
          <t>2026-09-30 14:30</t>
        </is>
      </c>
      <c r="L624" s="6" t="inlineStr">
        <is>
          <t>Válido</t>
        </is>
      </c>
      <c r="M624" s="2">
        <f>IF(L624="Válido","Sim","Não")</f>
        <v/>
      </c>
      <c r="N624" s="2" t="inlineStr"/>
    </row>
    <row r="625">
      <c r="A625" s="2" t="inlineStr">
        <is>
          <t>0Bracos_3000_R1110_150W_2026-09-30_14_30.csv</t>
        </is>
      </c>
      <c r="B625" s="2" t="inlineStr">
        <is>
          <t>150W_3000RPM_R1110</t>
        </is>
      </c>
      <c r="C625" s="2" t="n">
        <v>150</v>
      </c>
      <c r="D625" s="2" t="n">
        <v>3000</v>
      </c>
      <c r="E625" s="3">
        <f>D625*2/60</f>
        <v/>
      </c>
      <c r="F625" s="2" t="inlineStr">
        <is>
          <t>1110</t>
        </is>
      </c>
      <c r="G625" s="2" t="n">
        <v>0</v>
      </c>
      <c r="H625" s="2">
        <f>INDEX(Parametros!$B$2:$B$9,MATCH(G625,Parametros!$A$2:$A$9,0))</f>
        <v/>
      </c>
      <c r="I625" s="4">
        <f>1/(VALUE(MID(F625,1,1))/Parametros!$E$2+VALUE(MID(F625,2,1))/Parametros!$E$3+VALUE(MID(F625,3,1))/Parametros!$E$4+VALUE(MID(F625,4,1))/Parametros!$E$5)</f>
        <v/>
      </c>
      <c r="J625" s="5">
        <f>IF(G625=0,Parametros!$E$8,Parametros!$E$6+Parametros!$E$6*(Parametros!$E$7/G625+I625)/(Parametros!$E$6+Parametros!$E$7/G625+I625))</f>
        <v/>
      </c>
      <c r="K625" s="2" t="inlineStr">
        <is>
          <t>2026-09-30 14:30</t>
        </is>
      </c>
      <c r="L625" s="6" t="inlineStr">
        <is>
          <t>Válido</t>
        </is>
      </c>
      <c r="M625" s="2">
        <f>IF(L625="Válido","Sim","Não")</f>
        <v/>
      </c>
      <c r="N625" s="2" t="inlineStr"/>
    </row>
    <row r="626">
      <c r="A626" s="2" t="inlineStr">
        <is>
          <t>7Bracos_3000_R1111_150W_2026-09-30_14_30.csv</t>
        </is>
      </c>
      <c r="B626" s="2" t="inlineStr">
        <is>
          <t>150W_3000RPM_R1111</t>
        </is>
      </c>
      <c r="C626" s="2" t="n">
        <v>150</v>
      </c>
      <c r="D626" s="2" t="n">
        <v>3000</v>
      </c>
      <c r="E626" s="3">
        <f>D626*2/60</f>
        <v/>
      </c>
      <c r="F626" s="2" t="inlineStr">
        <is>
          <t>1111</t>
        </is>
      </c>
      <c r="G626" s="2" t="n">
        <v>7</v>
      </c>
      <c r="H626" s="2">
        <f>INDEX(Parametros!$B$2:$B$9,MATCH(G626,Parametros!$A$2:$A$9,0))</f>
        <v/>
      </c>
      <c r="I626" s="4">
        <f>1/(VALUE(MID(F626,1,1))/Parametros!$E$2+VALUE(MID(F626,2,1))/Parametros!$E$3+VALUE(MID(F626,3,1))/Parametros!$E$4+VALUE(MID(F626,4,1))/Parametros!$E$5)</f>
        <v/>
      </c>
      <c r="J626" s="5">
        <f>IF(G626=0,Parametros!$E$8,Parametros!$E$6+Parametros!$E$6*(Parametros!$E$7/G626+I626)/(Parametros!$E$6+Parametros!$E$7/G626+I626))</f>
        <v/>
      </c>
      <c r="K626" s="2" t="inlineStr">
        <is>
          <t>2026-09-30 14:30</t>
        </is>
      </c>
      <c r="L626" s="6" t="inlineStr">
        <is>
          <t>Válido</t>
        </is>
      </c>
      <c r="M626" s="2">
        <f>IF(L626="Válido","Sim","Não")</f>
        <v/>
      </c>
      <c r="N626" s="2" t="inlineStr"/>
    </row>
    <row r="627">
      <c r="A627" s="2" t="inlineStr">
        <is>
          <t>6Bracos_3000_R1111_150W_2026-09-30_14_30.csv</t>
        </is>
      </c>
      <c r="B627" s="2" t="inlineStr">
        <is>
          <t>150W_3000RPM_R1111</t>
        </is>
      </c>
      <c r="C627" s="2" t="n">
        <v>150</v>
      </c>
      <c r="D627" s="2" t="n">
        <v>3000</v>
      </c>
      <c r="E627" s="3">
        <f>D627*2/60</f>
        <v/>
      </c>
      <c r="F627" s="2" t="inlineStr">
        <is>
          <t>1111</t>
        </is>
      </c>
      <c r="G627" s="2" t="n">
        <v>6</v>
      </c>
      <c r="H627" s="2">
        <f>INDEX(Parametros!$B$2:$B$9,MATCH(G627,Parametros!$A$2:$A$9,0))</f>
        <v/>
      </c>
      <c r="I627" s="4">
        <f>1/(VALUE(MID(F627,1,1))/Parametros!$E$2+VALUE(MID(F627,2,1))/Parametros!$E$3+VALUE(MID(F627,3,1))/Parametros!$E$4+VALUE(MID(F627,4,1))/Parametros!$E$5)</f>
        <v/>
      </c>
      <c r="J627" s="5">
        <f>IF(G627=0,Parametros!$E$8,Parametros!$E$6+Parametros!$E$6*(Parametros!$E$7/G627+I627)/(Parametros!$E$6+Parametros!$E$7/G627+I627))</f>
        <v/>
      </c>
      <c r="K627" s="2" t="inlineStr">
        <is>
          <t>2026-09-30 14:30</t>
        </is>
      </c>
      <c r="L627" s="6" t="inlineStr">
        <is>
          <t>Válido</t>
        </is>
      </c>
      <c r="M627" s="2">
        <f>IF(L627="Válido","Sim","Não")</f>
        <v/>
      </c>
      <c r="N627" s="2" t="inlineStr"/>
    </row>
    <row r="628">
      <c r="A628" s="2" t="inlineStr">
        <is>
          <t>5Bracos_3000_R1111_150W_2026-09-30_14_30.csv</t>
        </is>
      </c>
      <c r="B628" s="2" t="inlineStr">
        <is>
          <t>150W_3000RPM_R1111</t>
        </is>
      </c>
      <c r="C628" s="2" t="n">
        <v>150</v>
      </c>
      <c r="D628" s="2" t="n">
        <v>3000</v>
      </c>
      <c r="E628" s="3">
        <f>D628*2/60</f>
        <v/>
      </c>
      <c r="F628" s="2" t="inlineStr">
        <is>
          <t>1111</t>
        </is>
      </c>
      <c r="G628" s="2" t="n">
        <v>5</v>
      </c>
      <c r="H628" s="2">
        <f>INDEX(Parametros!$B$2:$B$9,MATCH(G628,Parametros!$A$2:$A$9,0))</f>
        <v/>
      </c>
      <c r="I628" s="4">
        <f>1/(VALUE(MID(F628,1,1))/Parametros!$E$2+VALUE(MID(F628,2,1))/Parametros!$E$3+VALUE(MID(F628,3,1))/Parametros!$E$4+VALUE(MID(F628,4,1))/Parametros!$E$5)</f>
        <v/>
      </c>
      <c r="J628" s="5">
        <f>IF(G628=0,Parametros!$E$8,Parametros!$E$6+Parametros!$E$6*(Parametros!$E$7/G628+I628)/(Parametros!$E$6+Parametros!$E$7/G628+I628))</f>
        <v/>
      </c>
      <c r="K628" s="2" t="inlineStr">
        <is>
          <t>2026-09-30 14:30</t>
        </is>
      </c>
      <c r="L628" s="6" t="inlineStr">
        <is>
          <t>Válido</t>
        </is>
      </c>
      <c r="M628" s="2">
        <f>IF(L628="Válido","Sim","Não")</f>
        <v/>
      </c>
      <c r="N628" s="2" t="inlineStr"/>
    </row>
    <row r="629">
      <c r="A629" s="2" t="inlineStr">
        <is>
          <t>4Bracos_3000_R1111_150W_2026-09-30_14_30.csv</t>
        </is>
      </c>
      <c r="B629" s="2" t="inlineStr">
        <is>
          <t>150W_3000RPM_R1111</t>
        </is>
      </c>
      <c r="C629" s="2" t="n">
        <v>150</v>
      </c>
      <c r="D629" s="2" t="n">
        <v>3000</v>
      </c>
      <c r="E629" s="3">
        <f>D629*2/60</f>
        <v/>
      </c>
      <c r="F629" s="2" t="inlineStr">
        <is>
          <t>1111</t>
        </is>
      </c>
      <c r="G629" s="2" t="n">
        <v>4</v>
      </c>
      <c r="H629" s="2">
        <f>INDEX(Parametros!$B$2:$B$9,MATCH(G629,Parametros!$A$2:$A$9,0))</f>
        <v/>
      </c>
      <c r="I629" s="4">
        <f>1/(VALUE(MID(F629,1,1))/Parametros!$E$2+VALUE(MID(F629,2,1))/Parametros!$E$3+VALUE(MID(F629,3,1))/Parametros!$E$4+VALUE(MID(F629,4,1))/Parametros!$E$5)</f>
        <v/>
      </c>
      <c r="J629" s="5">
        <f>IF(G629=0,Parametros!$E$8,Parametros!$E$6+Parametros!$E$6*(Parametros!$E$7/G629+I629)/(Parametros!$E$6+Parametros!$E$7/G629+I629))</f>
        <v/>
      </c>
      <c r="K629" s="2" t="inlineStr">
        <is>
          <t>2026-09-30 14:30</t>
        </is>
      </c>
      <c r="L629" s="6" t="inlineStr">
        <is>
          <t>Válido</t>
        </is>
      </c>
      <c r="M629" s="2">
        <f>IF(L629="Válido","Sim","Não")</f>
        <v/>
      </c>
      <c r="N629" s="2" t="inlineStr"/>
    </row>
    <row r="630">
      <c r="A630" s="2" t="inlineStr">
        <is>
          <t>3Bracos_3000_R1111_150W_2026-09-30_14_30.csv</t>
        </is>
      </c>
      <c r="B630" s="2" t="inlineStr">
        <is>
          <t>150W_3000RPM_R1111</t>
        </is>
      </c>
      <c r="C630" s="2" t="n">
        <v>150</v>
      </c>
      <c r="D630" s="2" t="n">
        <v>3000</v>
      </c>
      <c r="E630" s="3">
        <f>D630*2/60</f>
        <v/>
      </c>
      <c r="F630" s="2" t="inlineStr">
        <is>
          <t>1111</t>
        </is>
      </c>
      <c r="G630" s="2" t="n">
        <v>3</v>
      </c>
      <c r="H630" s="2">
        <f>INDEX(Parametros!$B$2:$B$9,MATCH(G630,Parametros!$A$2:$A$9,0))</f>
        <v/>
      </c>
      <c r="I630" s="4">
        <f>1/(VALUE(MID(F630,1,1))/Parametros!$E$2+VALUE(MID(F630,2,1))/Parametros!$E$3+VALUE(MID(F630,3,1))/Parametros!$E$4+VALUE(MID(F630,4,1))/Parametros!$E$5)</f>
        <v/>
      </c>
      <c r="J630" s="5">
        <f>IF(G630=0,Parametros!$E$8,Parametros!$E$6+Parametros!$E$6*(Parametros!$E$7/G630+I630)/(Parametros!$E$6+Parametros!$E$7/G630+I630))</f>
        <v/>
      </c>
      <c r="K630" s="2" t="inlineStr">
        <is>
          <t>2026-09-30 14:30</t>
        </is>
      </c>
      <c r="L630" s="6" t="inlineStr">
        <is>
          <t>Válido</t>
        </is>
      </c>
      <c r="M630" s="2">
        <f>IF(L630="Válido","Sim","Não")</f>
        <v/>
      </c>
      <c r="N630" s="2" t="inlineStr"/>
    </row>
    <row r="631">
      <c r="A631" s="2" t="inlineStr">
        <is>
          <t>2Bracos_3000_R1111_150W_2026-09-30_14_30.csv</t>
        </is>
      </c>
      <c r="B631" s="2" t="inlineStr">
        <is>
          <t>150W_3000RPM_R1111</t>
        </is>
      </c>
      <c r="C631" s="2" t="n">
        <v>150</v>
      </c>
      <c r="D631" s="2" t="n">
        <v>3000</v>
      </c>
      <c r="E631" s="3">
        <f>D631*2/60</f>
        <v/>
      </c>
      <c r="F631" s="2" t="inlineStr">
        <is>
          <t>1111</t>
        </is>
      </c>
      <c r="G631" s="2" t="n">
        <v>2</v>
      </c>
      <c r="H631" s="2">
        <f>INDEX(Parametros!$B$2:$B$9,MATCH(G631,Parametros!$A$2:$A$9,0))</f>
        <v/>
      </c>
      <c r="I631" s="4">
        <f>1/(VALUE(MID(F631,1,1))/Parametros!$E$2+VALUE(MID(F631,2,1))/Parametros!$E$3+VALUE(MID(F631,3,1))/Parametros!$E$4+VALUE(MID(F631,4,1))/Parametros!$E$5)</f>
        <v/>
      </c>
      <c r="J631" s="5">
        <f>IF(G631=0,Parametros!$E$8,Parametros!$E$6+Parametros!$E$6*(Parametros!$E$7/G631+I631)/(Parametros!$E$6+Parametros!$E$7/G631+I631))</f>
        <v/>
      </c>
      <c r="K631" s="2" t="inlineStr">
        <is>
          <t>2026-09-30 14:30</t>
        </is>
      </c>
      <c r="L631" s="6" t="inlineStr">
        <is>
          <t>Válido</t>
        </is>
      </c>
      <c r="M631" s="2">
        <f>IF(L631="Válido","Sim","Não")</f>
        <v/>
      </c>
      <c r="N631" s="2" t="inlineStr"/>
    </row>
    <row r="632">
      <c r="A632" s="2" t="inlineStr">
        <is>
          <t>1Bracos_3000_R1111_150W_2026-09-30_14_30.csv</t>
        </is>
      </c>
      <c r="B632" s="2" t="inlineStr">
        <is>
          <t>150W_3000RPM_R1111</t>
        </is>
      </c>
      <c r="C632" s="2" t="n">
        <v>150</v>
      </c>
      <c r="D632" s="2" t="n">
        <v>3000</v>
      </c>
      <c r="E632" s="3">
        <f>D632*2/60</f>
        <v/>
      </c>
      <c r="F632" s="2" t="inlineStr">
        <is>
          <t>1111</t>
        </is>
      </c>
      <c r="G632" s="2" t="n">
        <v>1</v>
      </c>
      <c r="H632" s="2">
        <f>INDEX(Parametros!$B$2:$B$9,MATCH(G632,Parametros!$A$2:$A$9,0))</f>
        <v/>
      </c>
      <c r="I632" s="4">
        <f>1/(VALUE(MID(F632,1,1))/Parametros!$E$2+VALUE(MID(F632,2,1))/Parametros!$E$3+VALUE(MID(F632,3,1))/Parametros!$E$4+VALUE(MID(F632,4,1))/Parametros!$E$5)</f>
        <v/>
      </c>
      <c r="J632" s="5">
        <f>IF(G632=0,Parametros!$E$8,Parametros!$E$6+Parametros!$E$6*(Parametros!$E$7/G632+I632)/(Parametros!$E$6+Parametros!$E$7/G632+I632))</f>
        <v/>
      </c>
      <c r="K632" s="2" t="inlineStr">
        <is>
          <t>2026-09-30 14:30</t>
        </is>
      </c>
      <c r="L632" s="6" t="inlineStr">
        <is>
          <t>Válido</t>
        </is>
      </c>
      <c r="M632" s="2">
        <f>IF(L632="Válido","Sim","Não")</f>
        <v/>
      </c>
      <c r="N632" s="2" t="inlineStr"/>
    </row>
    <row r="633">
      <c r="A633" s="2" t="inlineStr">
        <is>
          <t>0Bracos_3000_R1111_150W_2026-09-30_14_30.csv</t>
        </is>
      </c>
      <c r="B633" s="2" t="inlineStr">
        <is>
          <t>150W_3000RPM_R1111</t>
        </is>
      </c>
      <c r="C633" s="2" t="n">
        <v>150</v>
      </c>
      <c r="D633" s="2" t="n">
        <v>3000</v>
      </c>
      <c r="E633" s="3">
        <f>D633*2/60</f>
        <v/>
      </c>
      <c r="F633" s="2" t="inlineStr">
        <is>
          <t>1111</t>
        </is>
      </c>
      <c r="G633" s="2" t="n">
        <v>0</v>
      </c>
      <c r="H633" s="2">
        <f>INDEX(Parametros!$B$2:$B$9,MATCH(G633,Parametros!$A$2:$A$9,0))</f>
        <v/>
      </c>
      <c r="I633" s="4">
        <f>1/(VALUE(MID(F633,1,1))/Parametros!$E$2+VALUE(MID(F633,2,1))/Parametros!$E$3+VALUE(MID(F633,3,1))/Parametros!$E$4+VALUE(MID(F633,4,1))/Parametros!$E$5)</f>
        <v/>
      </c>
      <c r="J633" s="5">
        <f>IF(G633=0,Parametros!$E$8,Parametros!$E$6+Parametros!$E$6*(Parametros!$E$7/G633+I633)/(Parametros!$E$6+Parametros!$E$7/G633+I633))</f>
        <v/>
      </c>
      <c r="K633" s="2" t="inlineStr">
        <is>
          <t>2026-09-30 14:30</t>
        </is>
      </c>
      <c r="L633" s="6" t="inlineStr">
        <is>
          <t>Válido</t>
        </is>
      </c>
      <c r="M633" s="2">
        <f>IF(L633="Válido","Sim","Não")</f>
        <v/>
      </c>
      <c r="N633" s="2" t="inlineStr"/>
    </row>
    <row r="634">
      <c r="A634" s="2" t="inlineStr">
        <is>
          <t>7Bracos_R0001_150W_2026-09-24_16_25.csv</t>
        </is>
      </c>
      <c r="B634" s="2" t="inlineStr">
        <is>
          <t>150W_3500RPM_R0001</t>
        </is>
      </c>
      <c r="C634" s="2" t="n">
        <v>150</v>
      </c>
      <c r="D634" s="2" t="n">
        <v>3500</v>
      </c>
      <c r="E634" s="3">
        <f>D634*2/60</f>
        <v/>
      </c>
      <c r="F634" s="2" t="inlineStr">
        <is>
          <t>0001</t>
        </is>
      </c>
      <c r="G634" s="2" t="n">
        <v>7</v>
      </c>
      <c r="H634" s="2">
        <f>INDEX(Parametros!$B$2:$B$9,MATCH(G634,Parametros!$A$2:$A$9,0))</f>
        <v/>
      </c>
      <c r="I634" s="4">
        <f>1/(VALUE(MID(F634,1,1))/Parametros!$E$2+VALUE(MID(F634,2,1))/Parametros!$E$3+VALUE(MID(F634,3,1))/Parametros!$E$4+VALUE(MID(F634,4,1))/Parametros!$E$5)</f>
        <v/>
      </c>
      <c r="J634" s="5">
        <f>IF(G634=0,Parametros!$E$8,Parametros!$E$6+Parametros!$E$6*(Parametros!$E$7/G634+I634)/(Parametros!$E$6+Parametros!$E$7/G634+I634))</f>
        <v/>
      </c>
      <c r="K634" s="2" t="inlineStr">
        <is>
          <t>2026-09-24 16:25</t>
        </is>
      </c>
      <c r="L634" s="6" t="inlineStr">
        <is>
          <t>Válido</t>
        </is>
      </c>
      <c r="M634" s="2">
        <f>IF(L634="Válido","Sim","Não")</f>
        <v/>
      </c>
      <c r="N634" s="2" t="inlineStr"/>
    </row>
    <row r="635">
      <c r="A635" s="2" t="inlineStr">
        <is>
          <t>6Bracos_R0001_150W_2026-09-24_16_25.csv</t>
        </is>
      </c>
      <c r="B635" s="2" t="inlineStr">
        <is>
          <t>150W_3500RPM_R0001</t>
        </is>
      </c>
      <c r="C635" s="2" t="n">
        <v>150</v>
      </c>
      <c r="D635" s="2" t="n">
        <v>3500</v>
      </c>
      <c r="E635" s="3">
        <f>D635*2/60</f>
        <v/>
      </c>
      <c r="F635" s="2" t="inlineStr">
        <is>
          <t>0001</t>
        </is>
      </c>
      <c r="G635" s="2" t="n">
        <v>6</v>
      </c>
      <c r="H635" s="2">
        <f>INDEX(Parametros!$B$2:$B$9,MATCH(G635,Parametros!$A$2:$A$9,0))</f>
        <v/>
      </c>
      <c r="I635" s="4">
        <f>1/(VALUE(MID(F635,1,1))/Parametros!$E$2+VALUE(MID(F635,2,1))/Parametros!$E$3+VALUE(MID(F635,3,1))/Parametros!$E$4+VALUE(MID(F635,4,1))/Parametros!$E$5)</f>
        <v/>
      </c>
      <c r="J635" s="5">
        <f>IF(G635=0,Parametros!$E$8,Parametros!$E$6+Parametros!$E$6*(Parametros!$E$7/G635+I635)/(Parametros!$E$6+Parametros!$E$7/G635+I635))</f>
        <v/>
      </c>
      <c r="K635" s="2" t="inlineStr">
        <is>
          <t>2026-09-24 16:25</t>
        </is>
      </c>
      <c r="L635" s="6" t="inlineStr">
        <is>
          <t>Válido</t>
        </is>
      </c>
      <c r="M635" s="2">
        <f>IF(L635="Válido","Sim","Não")</f>
        <v/>
      </c>
      <c r="N635" s="2" t="inlineStr"/>
    </row>
    <row r="636">
      <c r="A636" s="2" t="inlineStr">
        <is>
          <t>5Bracos_R0001_150W_2026-09-24_16_25.csv</t>
        </is>
      </c>
      <c r="B636" s="2" t="inlineStr">
        <is>
          <t>150W_3500RPM_R0001</t>
        </is>
      </c>
      <c r="C636" s="2" t="n">
        <v>150</v>
      </c>
      <c r="D636" s="2" t="n">
        <v>3500</v>
      </c>
      <c r="E636" s="3">
        <f>D636*2/60</f>
        <v/>
      </c>
      <c r="F636" s="2" t="inlineStr">
        <is>
          <t>0001</t>
        </is>
      </c>
      <c r="G636" s="2" t="n">
        <v>5</v>
      </c>
      <c r="H636" s="2">
        <f>INDEX(Parametros!$B$2:$B$9,MATCH(G636,Parametros!$A$2:$A$9,0))</f>
        <v/>
      </c>
      <c r="I636" s="4">
        <f>1/(VALUE(MID(F636,1,1))/Parametros!$E$2+VALUE(MID(F636,2,1))/Parametros!$E$3+VALUE(MID(F636,3,1))/Parametros!$E$4+VALUE(MID(F636,4,1))/Parametros!$E$5)</f>
        <v/>
      </c>
      <c r="J636" s="5">
        <f>IF(G636=0,Parametros!$E$8,Parametros!$E$6+Parametros!$E$6*(Parametros!$E$7/G636+I636)/(Parametros!$E$6+Parametros!$E$7/G636+I636))</f>
        <v/>
      </c>
      <c r="K636" s="2" t="inlineStr">
        <is>
          <t>2026-09-24 16:25</t>
        </is>
      </c>
      <c r="L636" s="6" t="inlineStr">
        <is>
          <t>Válido</t>
        </is>
      </c>
      <c r="M636" s="2">
        <f>IF(L636="Válido","Sim","Não")</f>
        <v/>
      </c>
      <c r="N636" s="2" t="inlineStr"/>
    </row>
    <row r="637">
      <c r="A637" s="2" t="inlineStr">
        <is>
          <t>4Bracos_R0001_150W_2026-09-24_16_25.csv</t>
        </is>
      </c>
      <c r="B637" s="2" t="inlineStr">
        <is>
          <t>150W_3500RPM_R0001</t>
        </is>
      </c>
      <c r="C637" s="2" t="n">
        <v>150</v>
      </c>
      <c r="D637" s="2" t="n">
        <v>3500</v>
      </c>
      <c r="E637" s="3">
        <f>D637*2/60</f>
        <v/>
      </c>
      <c r="F637" s="2" t="inlineStr">
        <is>
          <t>0001</t>
        </is>
      </c>
      <c r="G637" s="2" t="n">
        <v>4</v>
      </c>
      <c r="H637" s="2">
        <f>INDEX(Parametros!$B$2:$B$9,MATCH(G637,Parametros!$A$2:$A$9,0))</f>
        <v/>
      </c>
      <c r="I637" s="4">
        <f>1/(VALUE(MID(F637,1,1))/Parametros!$E$2+VALUE(MID(F637,2,1))/Parametros!$E$3+VALUE(MID(F637,3,1))/Parametros!$E$4+VALUE(MID(F637,4,1))/Parametros!$E$5)</f>
        <v/>
      </c>
      <c r="J637" s="5">
        <f>IF(G637=0,Parametros!$E$8,Parametros!$E$6+Parametros!$E$6*(Parametros!$E$7/G637+I637)/(Parametros!$E$6+Parametros!$E$7/G637+I637))</f>
        <v/>
      </c>
      <c r="K637" s="2" t="inlineStr">
        <is>
          <t>2026-09-24 16:25</t>
        </is>
      </c>
      <c r="L637" s="6" t="inlineStr">
        <is>
          <t>Válido</t>
        </is>
      </c>
      <c r="M637" s="2">
        <f>IF(L637="Válido","Sim","Não")</f>
        <v/>
      </c>
      <c r="N637" s="2" t="inlineStr"/>
    </row>
    <row r="638">
      <c r="A638" s="2" t="inlineStr">
        <is>
          <t>3Bracos_R0001_150W_2026-09-24_16_25.csv</t>
        </is>
      </c>
      <c r="B638" s="2" t="inlineStr">
        <is>
          <t>150W_3500RPM_R0001</t>
        </is>
      </c>
      <c r="C638" s="2" t="n">
        <v>150</v>
      </c>
      <c r="D638" s="2" t="n">
        <v>3500</v>
      </c>
      <c r="E638" s="3">
        <f>D638*2/60</f>
        <v/>
      </c>
      <c r="F638" s="2" t="inlineStr">
        <is>
          <t>0001</t>
        </is>
      </c>
      <c r="G638" s="2" t="n">
        <v>3</v>
      </c>
      <c r="H638" s="2">
        <f>INDEX(Parametros!$B$2:$B$9,MATCH(G638,Parametros!$A$2:$A$9,0))</f>
        <v/>
      </c>
      <c r="I638" s="4">
        <f>1/(VALUE(MID(F638,1,1))/Parametros!$E$2+VALUE(MID(F638,2,1))/Parametros!$E$3+VALUE(MID(F638,3,1))/Parametros!$E$4+VALUE(MID(F638,4,1))/Parametros!$E$5)</f>
        <v/>
      </c>
      <c r="J638" s="5">
        <f>IF(G638=0,Parametros!$E$8,Parametros!$E$6+Parametros!$E$6*(Parametros!$E$7/G638+I638)/(Parametros!$E$6+Parametros!$E$7/G638+I638))</f>
        <v/>
      </c>
      <c r="K638" s="2" t="inlineStr">
        <is>
          <t>2026-09-24 16:25</t>
        </is>
      </c>
      <c r="L638" s="6" t="inlineStr">
        <is>
          <t>Válido</t>
        </is>
      </c>
      <c r="M638" s="2">
        <f>IF(L638="Válido","Sim","Não")</f>
        <v/>
      </c>
      <c r="N638" s="2" t="inlineStr"/>
    </row>
    <row r="639">
      <c r="A639" s="2" t="inlineStr">
        <is>
          <t>2Bracos_R0001_150W_2026-09-24_16_25.csv</t>
        </is>
      </c>
      <c r="B639" s="2" t="inlineStr">
        <is>
          <t>150W_3500RPM_R0001</t>
        </is>
      </c>
      <c r="C639" s="2" t="n">
        <v>150</v>
      </c>
      <c r="D639" s="2" t="n">
        <v>3500</v>
      </c>
      <c r="E639" s="3">
        <f>D639*2/60</f>
        <v/>
      </c>
      <c r="F639" s="2" t="inlineStr">
        <is>
          <t>0001</t>
        </is>
      </c>
      <c r="G639" s="2" t="n">
        <v>2</v>
      </c>
      <c r="H639" s="2">
        <f>INDEX(Parametros!$B$2:$B$9,MATCH(G639,Parametros!$A$2:$A$9,0))</f>
        <v/>
      </c>
      <c r="I639" s="4">
        <f>1/(VALUE(MID(F639,1,1))/Parametros!$E$2+VALUE(MID(F639,2,1))/Parametros!$E$3+VALUE(MID(F639,3,1))/Parametros!$E$4+VALUE(MID(F639,4,1))/Parametros!$E$5)</f>
        <v/>
      </c>
      <c r="J639" s="5">
        <f>IF(G639=0,Parametros!$E$8,Parametros!$E$6+Parametros!$E$6*(Parametros!$E$7/G639+I639)/(Parametros!$E$6+Parametros!$E$7/G639+I639))</f>
        <v/>
      </c>
      <c r="K639" s="2" t="inlineStr">
        <is>
          <t>2026-09-24 16:25</t>
        </is>
      </c>
      <c r="L639" s="6" t="inlineStr">
        <is>
          <t>Válido</t>
        </is>
      </c>
      <c r="M639" s="2">
        <f>IF(L639="Válido","Sim","Não")</f>
        <v/>
      </c>
      <c r="N639" s="2" t="inlineStr"/>
    </row>
    <row r="640">
      <c r="A640" s="2" t="inlineStr">
        <is>
          <t>1Bracos_R0001_150W_2026-09-24_16_25.csv</t>
        </is>
      </c>
      <c r="B640" s="2" t="inlineStr">
        <is>
          <t>150W_3500RPM_R0001</t>
        </is>
      </c>
      <c r="C640" s="2" t="n">
        <v>150</v>
      </c>
      <c r="D640" s="2" t="n">
        <v>3500</v>
      </c>
      <c r="E640" s="3">
        <f>D640*2/60</f>
        <v/>
      </c>
      <c r="F640" s="2" t="inlineStr">
        <is>
          <t>0001</t>
        </is>
      </c>
      <c r="G640" s="2" t="n">
        <v>1</v>
      </c>
      <c r="H640" s="2">
        <f>INDEX(Parametros!$B$2:$B$9,MATCH(G640,Parametros!$A$2:$A$9,0))</f>
        <v/>
      </c>
      <c r="I640" s="4">
        <f>1/(VALUE(MID(F640,1,1))/Parametros!$E$2+VALUE(MID(F640,2,1))/Parametros!$E$3+VALUE(MID(F640,3,1))/Parametros!$E$4+VALUE(MID(F640,4,1))/Parametros!$E$5)</f>
        <v/>
      </c>
      <c r="J640" s="5">
        <f>IF(G640=0,Parametros!$E$8,Parametros!$E$6+Parametros!$E$6*(Parametros!$E$7/G640+I640)/(Parametros!$E$6+Parametros!$E$7/G640+I640))</f>
        <v/>
      </c>
      <c r="K640" s="2" t="inlineStr">
        <is>
          <t>2026-09-24 16:25</t>
        </is>
      </c>
      <c r="L640" s="6" t="inlineStr">
        <is>
          <t>Válido</t>
        </is>
      </c>
      <c r="M640" s="2">
        <f>IF(L640="Válido","Sim","Não")</f>
        <v/>
      </c>
      <c r="N640" s="2" t="inlineStr"/>
    </row>
    <row r="641">
      <c r="A641" s="2" t="inlineStr">
        <is>
          <t>0Bracos_R0001_150W_2026-09-24_16_25.csv</t>
        </is>
      </c>
      <c r="B641" s="2" t="inlineStr">
        <is>
          <t>150W_3500RPM_R0001</t>
        </is>
      </c>
      <c r="C641" s="2" t="n">
        <v>150</v>
      </c>
      <c r="D641" s="2" t="n">
        <v>3500</v>
      </c>
      <c r="E641" s="3">
        <f>D641*2/60</f>
        <v/>
      </c>
      <c r="F641" s="2" t="inlineStr">
        <is>
          <t>0001</t>
        </is>
      </c>
      <c r="G641" s="2" t="n">
        <v>0</v>
      </c>
      <c r="H641" s="2">
        <f>INDEX(Parametros!$B$2:$B$9,MATCH(G641,Parametros!$A$2:$A$9,0))</f>
        <v/>
      </c>
      <c r="I641" s="4">
        <f>1/(VALUE(MID(F641,1,1))/Parametros!$E$2+VALUE(MID(F641,2,1))/Parametros!$E$3+VALUE(MID(F641,3,1))/Parametros!$E$4+VALUE(MID(F641,4,1))/Parametros!$E$5)</f>
        <v/>
      </c>
      <c r="J641" s="5">
        <f>IF(G641=0,Parametros!$E$8,Parametros!$E$6+Parametros!$E$6*(Parametros!$E$7/G641+I641)/(Parametros!$E$6+Parametros!$E$7/G641+I641))</f>
        <v/>
      </c>
      <c r="K641" s="2" t="inlineStr">
        <is>
          <t>2026-09-24 16:25</t>
        </is>
      </c>
      <c r="L641" s="6" t="inlineStr">
        <is>
          <t>Válido</t>
        </is>
      </c>
      <c r="M641" s="2">
        <f>IF(L641="Válido","Sim","Não")</f>
        <v/>
      </c>
      <c r="N641" s="2" t="inlineStr"/>
    </row>
    <row r="642">
      <c r="A642" s="2" t="inlineStr">
        <is>
          <t>7Bracos_R0010_150W_2026-09-24_16_25.csv</t>
        </is>
      </c>
      <c r="B642" s="2" t="inlineStr">
        <is>
          <t>150W_3500RPM_R0010</t>
        </is>
      </c>
      <c r="C642" s="2" t="n">
        <v>150</v>
      </c>
      <c r="D642" s="2" t="n">
        <v>3500</v>
      </c>
      <c r="E642" s="3">
        <f>D642*2/60</f>
        <v/>
      </c>
      <c r="F642" s="2" t="inlineStr">
        <is>
          <t>0010</t>
        </is>
      </c>
      <c r="G642" s="2" t="n">
        <v>7</v>
      </c>
      <c r="H642" s="2">
        <f>INDEX(Parametros!$B$2:$B$9,MATCH(G642,Parametros!$A$2:$A$9,0))</f>
        <v/>
      </c>
      <c r="I642" s="4">
        <f>1/(VALUE(MID(F642,1,1))/Parametros!$E$2+VALUE(MID(F642,2,1))/Parametros!$E$3+VALUE(MID(F642,3,1))/Parametros!$E$4+VALUE(MID(F642,4,1))/Parametros!$E$5)</f>
        <v/>
      </c>
      <c r="J642" s="5">
        <f>IF(G642=0,Parametros!$E$8,Parametros!$E$6+Parametros!$E$6*(Parametros!$E$7/G642+I642)/(Parametros!$E$6+Parametros!$E$7/G642+I642))</f>
        <v/>
      </c>
      <c r="K642" s="2" t="inlineStr">
        <is>
          <t>2026-09-24 16:25</t>
        </is>
      </c>
      <c r="L642" s="6" t="inlineStr">
        <is>
          <t>Válido</t>
        </is>
      </c>
      <c r="M642" s="2">
        <f>IF(L642="Válido","Sim","Não")</f>
        <v/>
      </c>
      <c r="N642" s="2" t="inlineStr"/>
    </row>
    <row r="643">
      <c r="A643" s="2" t="inlineStr">
        <is>
          <t>6Bracos_R0010_150W_2026-09-24_16_25.csv</t>
        </is>
      </c>
      <c r="B643" s="2" t="inlineStr">
        <is>
          <t>150W_3500RPM_R0010</t>
        </is>
      </c>
      <c r="C643" s="2" t="n">
        <v>150</v>
      </c>
      <c r="D643" s="2" t="n">
        <v>3500</v>
      </c>
      <c r="E643" s="3">
        <f>D643*2/60</f>
        <v/>
      </c>
      <c r="F643" s="2" t="inlineStr">
        <is>
          <t>0010</t>
        </is>
      </c>
      <c r="G643" s="2" t="n">
        <v>6</v>
      </c>
      <c r="H643" s="2">
        <f>INDEX(Parametros!$B$2:$B$9,MATCH(G643,Parametros!$A$2:$A$9,0))</f>
        <v/>
      </c>
      <c r="I643" s="4">
        <f>1/(VALUE(MID(F643,1,1))/Parametros!$E$2+VALUE(MID(F643,2,1))/Parametros!$E$3+VALUE(MID(F643,3,1))/Parametros!$E$4+VALUE(MID(F643,4,1))/Parametros!$E$5)</f>
        <v/>
      </c>
      <c r="J643" s="5">
        <f>IF(G643=0,Parametros!$E$8,Parametros!$E$6+Parametros!$E$6*(Parametros!$E$7/G643+I643)/(Parametros!$E$6+Parametros!$E$7/G643+I643))</f>
        <v/>
      </c>
      <c r="K643" s="2" t="inlineStr">
        <is>
          <t>2026-09-24 16:25</t>
        </is>
      </c>
      <c r="L643" s="6" t="inlineStr">
        <is>
          <t>Válido</t>
        </is>
      </c>
      <c r="M643" s="2">
        <f>IF(L643="Válido","Sim","Não")</f>
        <v/>
      </c>
      <c r="N643" s="2" t="inlineStr"/>
    </row>
    <row r="644">
      <c r="A644" s="2" t="inlineStr">
        <is>
          <t>5Bracos_R0010_150W_2026-09-24_16_25.csv</t>
        </is>
      </c>
      <c r="B644" s="2" t="inlineStr">
        <is>
          <t>150W_3500RPM_R0010</t>
        </is>
      </c>
      <c r="C644" s="2" t="n">
        <v>150</v>
      </c>
      <c r="D644" s="2" t="n">
        <v>3500</v>
      </c>
      <c r="E644" s="3">
        <f>D644*2/60</f>
        <v/>
      </c>
      <c r="F644" s="2" t="inlineStr">
        <is>
          <t>0010</t>
        </is>
      </c>
      <c r="G644" s="2" t="n">
        <v>5</v>
      </c>
      <c r="H644" s="2">
        <f>INDEX(Parametros!$B$2:$B$9,MATCH(G644,Parametros!$A$2:$A$9,0))</f>
        <v/>
      </c>
      <c r="I644" s="4">
        <f>1/(VALUE(MID(F644,1,1))/Parametros!$E$2+VALUE(MID(F644,2,1))/Parametros!$E$3+VALUE(MID(F644,3,1))/Parametros!$E$4+VALUE(MID(F644,4,1))/Parametros!$E$5)</f>
        <v/>
      </c>
      <c r="J644" s="5">
        <f>IF(G644=0,Parametros!$E$8,Parametros!$E$6+Parametros!$E$6*(Parametros!$E$7/G644+I644)/(Parametros!$E$6+Parametros!$E$7/G644+I644))</f>
        <v/>
      </c>
      <c r="K644" s="2" t="inlineStr">
        <is>
          <t>2026-09-24 16:25</t>
        </is>
      </c>
      <c r="L644" s="6" t="inlineStr">
        <is>
          <t>Válido</t>
        </is>
      </c>
      <c r="M644" s="2">
        <f>IF(L644="Válido","Sim","Não")</f>
        <v/>
      </c>
      <c r="N644" s="2" t="inlineStr"/>
    </row>
    <row r="645">
      <c r="A645" s="2" t="inlineStr">
        <is>
          <t>4Bracos_R0010_150W_2026-09-24_16_25.csv</t>
        </is>
      </c>
      <c r="B645" s="2" t="inlineStr">
        <is>
          <t>150W_3500RPM_R0010</t>
        </is>
      </c>
      <c r="C645" s="2" t="n">
        <v>150</v>
      </c>
      <c r="D645" s="2" t="n">
        <v>3500</v>
      </c>
      <c r="E645" s="3">
        <f>D645*2/60</f>
        <v/>
      </c>
      <c r="F645" s="2" t="inlineStr">
        <is>
          <t>0010</t>
        </is>
      </c>
      <c r="G645" s="2" t="n">
        <v>4</v>
      </c>
      <c r="H645" s="2">
        <f>INDEX(Parametros!$B$2:$B$9,MATCH(G645,Parametros!$A$2:$A$9,0))</f>
        <v/>
      </c>
      <c r="I645" s="4">
        <f>1/(VALUE(MID(F645,1,1))/Parametros!$E$2+VALUE(MID(F645,2,1))/Parametros!$E$3+VALUE(MID(F645,3,1))/Parametros!$E$4+VALUE(MID(F645,4,1))/Parametros!$E$5)</f>
        <v/>
      </c>
      <c r="J645" s="5">
        <f>IF(G645=0,Parametros!$E$8,Parametros!$E$6+Parametros!$E$6*(Parametros!$E$7/G645+I645)/(Parametros!$E$6+Parametros!$E$7/G645+I645))</f>
        <v/>
      </c>
      <c r="K645" s="2" t="inlineStr">
        <is>
          <t>2026-09-24 16:25</t>
        </is>
      </c>
      <c r="L645" s="6" t="inlineStr">
        <is>
          <t>Válido</t>
        </is>
      </c>
      <c r="M645" s="2">
        <f>IF(L645="Válido","Sim","Não")</f>
        <v/>
      </c>
      <c r="N645" s="2" t="inlineStr"/>
    </row>
    <row r="646">
      <c r="A646" s="2" t="inlineStr">
        <is>
          <t>3Bracos_R0010_150W_2026-09-24_16_25.csv</t>
        </is>
      </c>
      <c r="B646" s="2" t="inlineStr">
        <is>
          <t>150W_3500RPM_R0010</t>
        </is>
      </c>
      <c r="C646" s="2" t="n">
        <v>150</v>
      </c>
      <c r="D646" s="2" t="n">
        <v>3500</v>
      </c>
      <c r="E646" s="3">
        <f>D646*2/60</f>
        <v/>
      </c>
      <c r="F646" s="2" t="inlineStr">
        <is>
          <t>0010</t>
        </is>
      </c>
      <c r="G646" s="2" t="n">
        <v>3</v>
      </c>
      <c r="H646" s="2">
        <f>INDEX(Parametros!$B$2:$B$9,MATCH(G646,Parametros!$A$2:$A$9,0))</f>
        <v/>
      </c>
      <c r="I646" s="4">
        <f>1/(VALUE(MID(F646,1,1))/Parametros!$E$2+VALUE(MID(F646,2,1))/Parametros!$E$3+VALUE(MID(F646,3,1))/Parametros!$E$4+VALUE(MID(F646,4,1))/Parametros!$E$5)</f>
        <v/>
      </c>
      <c r="J646" s="5">
        <f>IF(G646=0,Parametros!$E$8,Parametros!$E$6+Parametros!$E$6*(Parametros!$E$7/G646+I646)/(Parametros!$E$6+Parametros!$E$7/G646+I646))</f>
        <v/>
      </c>
      <c r="K646" s="2" t="inlineStr">
        <is>
          <t>2026-09-24 16:25</t>
        </is>
      </c>
      <c r="L646" s="6" t="inlineStr">
        <is>
          <t>Válido</t>
        </is>
      </c>
      <c r="M646" s="2">
        <f>IF(L646="Válido","Sim","Não")</f>
        <v/>
      </c>
      <c r="N646" s="2" t="inlineStr"/>
    </row>
    <row r="647">
      <c r="A647" s="2" t="inlineStr">
        <is>
          <t>2Bracos_R0010_150W_2026-09-24_16_25.csv</t>
        </is>
      </c>
      <c r="B647" s="2" t="inlineStr">
        <is>
          <t>150W_3500RPM_R0010</t>
        </is>
      </c>
      <c r="C647" s="2" t="n">
        <v>150</v>
      </c>
      <c r="D647" s="2" t="n">
        <v>3500</v>
      </c>
      <c r="E647" s="3">
        <f>D647*2/60</f>
        <v/>
      </c>
      <c r="F647" s="2" t="inlineStr">
        <is>
          <t>0010</t>
        </is>
      </c>
      <c r="G647" s="2" t="n">
        <v>2</v>
      </c>
      <c r="H647" s="2">
        <f>INDEX(Parametros!$B$2:$B$9,MATCH(G647,Parametros!$A$2:$A$9,0))</f>
        <v/>
      </c>
      <c r="I647" s="4">
        <f>1/(VALUE(MID(F647,1,1))/Parametros!$E$2+VALUE(MID(F647,2,1))/Parametros!$E$3+VALUE(MID(F647,3,1))/Parametros!$E$4+VALUE(MID(F647,4,1))/Parametros!$E$5)</f>
        <v/>
      </c>
      <c r="J647" s="5">
        <f>IF(G647=0,Parametros!$E$8,Parametros!$E$6+Parametros!$E$6*(Parametros!$E$7/G647+I647)/(Parametros!$E$6+Parametros!$E$7/G647+I647))</f>
        <v/>
      </c>
      <c r="K647" s="2" t="inlineStr">
        <is>
          <t>2026-09-24 16:25</t>
        </is>
      </c>
      <c r="L647" s="6" t="inlineStr">
        <is>
          <t>Válido</t>
        </is>
      </c>
      <c r="M647" s="2">
        <f>IF(L647="Válido","Sim","Não")</f>
        <v/>
      </c>
      <c r="N647" s="2" t="inlineStr"/>
    </row>
    <row r="648">
      <c r="A648" s="2" t="inlineStr">
        <is>
          <t>1Bracos_R0010_150W_2026-09-24_16_25.csv</t>
        </is>
      </c>
      <c r="B648" s="2" t="inlineStr">
        <is>
          <t>150W_3500RPM_R0010</t>
        </is>
      </c>
      <c r="C648" s="2" t="n">
        <v>150</v>
      </c>
      <c r="D648" s="2" t="n">
        <v>3500</v>
      </c>
      <c r="E648" s="3">
        <f>D648*2/60</f>
        <v/>
      </c>
      <c r="F648" s="2" t="inlineStr">
        <is>
          <t>0010</t>
        </is>
      </c>
      <c r="G648" s="2" t="n">
        <v>1</v>
      </c>
      <c r="H648" s="2">
        <f>INDEX(Parametros!$B$2:$B$9,MATCH(G648,Parametros!$A$2:$A$9,0))</f>
        <v/>
      </c>
      <c r="I648" s="4">
        <f>1/(VALUE(MID(F648,1,1))/Parametros!$E$2+VALUE(MID(F648,2,1))/Parametros!$E$3+VALUE(MID(F648,3,1))/Parametros!$E$4+VALUE(MID(F648,4,1))/Parametros!$E$5)</f>
        <v/>
      </c>
      <c r="J648" s="5">
        <f>IF(G648=0,Parametros!$E$8,Parametros!$E$6+Parametros!$E$6*(Parametros!$E$7/G648+I648)/(Parametros!$E$6+Parametros!$E$7/G648+I648))</f>
        <v/>
      </c>
      <c r="K648" s="2" t="inlineStr">
        <is>
          <t>2026-09-24 16:25</t>
        </is>
      </c>
      <c r="L648" s="6" t="inlineStr">
        <is>
          <t>Válido</t>
        </is>
      </c>
      <c r="M648" s="2">
        <f>IF(L648="Válido","Sim","Não")</f>
        <v/>
      </c>
      <c r="N648" s="2" t="inlineStr"/>
    </row>
    <row r="649">
      <c r="A649" s="2" t="inlineStr">
        <is>
          <t>0Bracos_R0010_150W_2026-09-24_16_25.csv</t>
        </is>
      </c>
      <c r="B649" s="2" t="inlineStr">
        <is>
          <t>150W_3500RPM_R0010</t>
        </is>
      </c>
      <c r="C649" s="2" t="n">
        <v>150</v>
      </c>
      <c r="D649" s="2" t="n">
        <v>3500</v>
      </c>
      <c r="E649" s="3">
        <f>D649*2/60</f>
        <v/>
      </c>
      <c r="F649" s="2" t="inlineStr">
        <is>
          <t>0010</t>
        </is>
      </c>
      <c r="G649" s="2" t="n">
        <v>0</v>
      </c>
      <c r="H649" s="2">
        <f>INDEX(Parametros!$B$2:$B$9,MATCH(G649,Parametros!$A$2:$A$9,0))</f>
        <v/>
      </c>
      <c r="I649" s="4">
        <f>1/(VALUE(MID(F649,1,1))/Parametros!$E$2+VALUE(MID(F649,2,1))/Parametros!$E$3+VALUE(MID(F649,3,1))/Parametros!$E$4+VALUE(MID(F649,4,1))/Parametros!$E$5)</f>
        <v/>
      </c>
      <c r="J649" s="5">
        <f>IF(G649=0,Parametros!$E$8,Parametros!$E$6+Parametros!$E$6*(Parametros!$E$7/G649+I649)/(Parametros!$E$6+Parametros!$E$7/G649+I649))</f>
        <v/>
      </c>
      <c r="K649" s="2" t="inlineStr">
        <is>
          <t>2026-09-24 16:25</t>
        </is>
      </c>
      <c r="L649" s="6" t="inlineStr">
        <is>
          <t>Válido</t>
        </is>
      </c>
      <c r="M649" s="2">
        <f>IF(L649="Válido","Sim","Não")</f>
        <v/>
      </c>
      <c r="N649" s="2" t="inlineStr"/>
    </row>
    <row r="650">
      <c r="A650" s="2" t="inlineStr">
        <is>
          <t>7Bracos_R0011_150W_2026-09-24_16_25.csv</t>
        </is>
      </c>
      <c r="B650" s="2" t="inlineStr">
        <is>
          <t>150W_3500RPM_R0011</t>
        </is>
      </c>
      <c r="C650" s="2" t="n">
        <v>150</v>
      </c>
      <c r="D650" s="2" t="n">
        <v>3500</v>
      </c>
      <c r="E650" s="3">
        <f>D650*2/60</f>
        <v/>
      </c>
      <c r="F650" s="2" t="inlineStr">
        <is>
          <t>0011</t>
        </is>
      </c>
      <c r="G650" s="2" t="n">
        <v>7</v>
      </c>
      <c r="H650" s="2">
        <f>INDEX(Parametros!$B$2:$B$9,MATCH(G650,Parametros!$A$2:$A$9,0))</f>
        <v/>
      </c>
      <c r="I650" s="4">
        <f>1/(VALUE(MID(F650,1,1))/Parametros!$E$2+VALUE(MID(F650,2,1))/Parametros!$E$3+VALUE(MID(F650,3,1))/Parametros!$E$4+VALUE(MID(F650,4,1))/Parametros!$E$5)</f>
        <v/>
      </c>
      <c r="J650" s="5">
        <f>IF(G650=0,Parametros!$E$8,Parametros!$E$6+Parametros!$E$6*(Parametros!$E$7/G650+I650)/(Parametros!$E$6+Parametros!$E$7/G650+I650))</f>
        <v/>
      </c>
      <c r="K650" s="2" t="inlineStr">
        <is>
          <t>2026-09-24 16:25</t>
        </is>
      </c>
      <c r="L650" s="6" t="inlineStr">
        <is>
          <t>Válido</t>
        </is>
      </c>
      <c r="M650" s="2">
        <f>IF(L650="Válido","Sim","Não")</f>
        <v/>
      </c>
      <c r="N650" s="2" t="inlineStr"/>
    </row>
    <row r="651">
      <c r="A651" s="2" t="inlineStr">
        <is>
          <t>6Bracos_R0011_150W_2026-09-24_16_25.csv</t>
        </is>
      </c>
      <c r="B651" s="2" t="inlineStr">
        <is>
          <t>150W_3500RPM_R0011</t>
        </is>
      </c>
      <c r="C651" s="2" t="n">
        <v>150</v>
      </c>
      <c r="D651" s="2" t="n">
        <v>3500</v>
      </c>
      <c r="E651" s="3">
        <f>D651*2/60</f>
        <v/>
      </c>
      <c r="F651" s="2" t="inlineStr">
        <is>
          <t>0011</t>
        </is>
      </c>
      <c r="G651" s="2" t="n">
        <v>6</v>
      </c>
      <c r="H651" s="2">
        <f>INDEX(Parametros!$B$2:$B$9,MATCH(G651,Parametros!$A$2:$A$9,0))</f>
        <v/>
      </c>
      <c r="I651" s="4">
        <f>1/(VALUE(MID(F651,1,1))/Parametros!$E$2+VALUE(MID(F651,2,1))/Parametros!$E$3+VALUE(MID(F651,3,1))/Parametros!$E$4+VALUE(MID(F651,4,1))/Parametros!$E$5)</f>
        <v/>
      </c>
      <c r="J651" s="5">
        <f>IF(G651=0,Parametros!$E$8,Parametros!$E$6+Parametros!$E$6*(Parametros!$E$7/G651+I651)/(Parametros!$E$6+Parametros!$E$7/G651+I651))</f>
        <v/>
      </c>
      <c r="K651" s="2" t="inlineStr">
        <is>
          <t>2026-09-24 16:25</t>
        </is>
      </c>
      <c r="L651" s="6" t="inlineStr">
        <is>
          <t>Válido</t>
        </is>
      </c>
      <c r="M651" s="2">
        <f>IF(L651="Válido","Sim","Não")</f>
        <v/>
      </c>
      <c r="N651" s="2" t="inlineStr"/>
    </row>
    <row r="652">
      <c r="A652" s="2" t="inlineStr">
        <is>
          <t>5Bracos_R0011_150W_2026-09-24_16_25.csv</t>
        </is>
      </c>
      <c r="B652" s="2" t="inlineStr">
        <is>
          <t>150W_3500RPM_R0011</t>
        </is>
      </c>
      <c r="C652" s="2" t="n">
        <v>150</v>
      </c>
      <c r="D652" s="2" t="n">
        <v>3500</v>
      </c>
      <c r="E652" s="3">
        <f>D652*2/60</f>
        <v/>
      </c>
      <c r="F652" s="2" t="inlineStr">
        <is>
          <t>0011</t>
        </is>
      </c>
      <c r="G652" s="2" t="n">
        <v>5</v>
      </c>
      <c r="H652" s="2">
        <f>INDEX(Parametros!$B$2:$B$9,MATCH(G652,Parametros!$A$2:$A$9,0))</f>
        <v/>
      </c>
      <c r="I652" s="4">
        <f>1/(VALUE(MID(F652,1,1))/Parametros!$E$2+VALUE(MID(F652,2,1))/Parametros!$E$3+VALUE(MID(F652,3,1))/Parametros!$E$4+VALUE(MID(F652,4,1))/Parametros!$E$5)</f>
        <v/>
      </c>
      <c r="J652" s="5">
        <f>IF(G652=0,Parametros!$E$8,Parametros!$E$6+Parametros!$E$6*(Parametros!$E$7/G652+I652)/(Parametros!$E$6+Parametros!$E$7/G652+I652))</f>
        <v/>
      </c>
      <c r="K652" s="2" t="inlineStr">
        <is>
          <t>2026-09-24 16:25</t>
        </is>
      </c>
      <c r="L652" s="6" t="inlineStr">
        <is>
          <t>Válido</t>
        </is>
      </c>
      <c r="M652" s="2">
        <f>IF(L652="Válido","Sim","Não")</f>
        <v/>
      </c>
      <c r="N652" s="2" t="inlineStr"/>
    </row>
    <row r="653">
      <c r="A653" s="2" t="inlineStr">
        <is>
          <t>4Bracos_R0011_150W_2026-09-24_16_25.csv</t>
        </is>
      </c>
      <c r="B653" s="2" t="inlineStr">
        <is>
          <t>150W_3500RPM_R0011</t>
        </is>
      </c>
      <c r="C653" s="2" t="n">
        <v>150</v>
      </c>
      <c r="D653" s="2" t="n">
        <v>3500</v>
      </c>
      <c r="E653" s="3">
        <f>D653*2/60</f>
        <v/>
      </c>
      <c r="F653" s="2" t="inlineStr">
        <is>
          <t>0011</t>
        </is>
      </c>
      <c r="G653" s="2" t="n">
        <v>4</v>
      </c>
      <c r="H653" s="2">
        <f>INDEX(Parametros!$B$2:$B$9,MATCH(G653,Parametros!$A$2:$A$9,0))</f>
        <v/>
      </c>
      <c r="I653" s="4">
        <f>1/(VALUE(MID(F653,1,1))/Parametros!$E$2+VALUE(MID(F653,2,1))/Parametros!$E$3+VALUE(MID(F653,3,1))/Parametros!$E$4+VALUE(MID(F653,4,1))/Parametros!$E$5)</f>
        <v/>
      </c>
      <c r="J653" s="5">
        <f>IF(G653=0,Parametros!$E$8,Parametros!$E$6+Parametros!$E$6*(Parametros!$E$7/G653+I653)/(Parametros!$E$6+Parametros!$E$7/G653+I653))</f>
        <v/>
      </c>
      <c r="K653" s="2" t="inlineStr">
        <is>
          <t>2026-09-24 16:25</t>
        </is>
      </c>
      <c r="L653" s="6" t="inlineStr">
        <is>
          <t>Válido</t>
        </is>
      </c>
      <c r="M653" s="2">
        <f>IF(L653="Válido","Sim","Não")</f>
        <v/>
      </c>
      <c r="N653" s="2" t="inlineStr"/>
    </row>
    <row r="654">
      <c r="A654" s="2" t="inlineStr">
        <is>
          <t>3Bracos_R0011_150W_2026-09-24_16_25.csv</t>
        </is>
      </c>
      <c r="B654" s="2" t="inlineStr">
        <is>
          <t>150W_3500RPM_R0011</t>
        </is>
      </c>
      <c r="C654" s="2" t="n">
        <v>150</v>
      </c>
      <c r="D654" s="2" t="n">
        <v>3500</v>
      </c>
      <c r="E654" s="3">
        <f>D654*2/60</f>
        <v/>
      </c>
      <c r="F654" s="2" t="inlineStr">
        <is>
          <t>0011</t>
        </is>
      </c>
      <c r="G654" s="2" t="n">
        <v>3</v>
      </c>
      <c r="H654" s="2">
        <f>INDEX(Parametros!$B$2:$B$9,MATCH(G654,Parametros!$A$2:$A$9,0))</f>
        <v/>
      </c>
      <c r="I654" s="4">
        <f>1/(VALUE(MID(F654,1,1))/Parametros!$E$2+VALUE(MID(F654,2,1))/Parametros!$E$3+VALUE(MID(F654,3,1))/Parametros!$E$4+VALUE(MID(F654,4,1))/Parametros!$E$5)</f>
        <v/>
      </c>
      <c r="J654" s="5">
        <f>IF(G654=0,Parametros!$E$8,Parametros!$E$6+Parametros!$E$6*(Parametros!$E$7/G654+I654)/(Parametros!$E$6+Parametros!$E$7/G654+I654))</f>
        <v/>
      </c>
      <c r="K654" s="2" t="inlineStr">
        <is>
          <t>2026-09-24 16:25</t>
        </is>
      </c>
      <c r="L654" s="6" t="inlineStr">
        <is>
          <t>Válido</t>
        </is>
      </c>
      <c r="M654" s="2">
        <f>IF(L654="Válido","Sim","Não")</f>
        <v/>
      </c>
      <c r="N654" s="2" t="inlineStr"/>
    </row>
    <row r="655">
      <c r="A655" s="2" t="inlineStr">
        <is>
          <t>2Bracos_R0011_150W_2026-09-24_16_25.csv</t>
        </is>
      </c>
      <c r="B655" s="2" t="inlineStr">
        <is>
          <t>150W_3500RPM_R0011</t>
        </is>
      </c>
      <c r="C655" s="2" t="n">
        <v>150</v>
      </c>
      <c r="D655" s="2" t="n">
        <v>3500</v>
      </c>
      <c r="E655" s="3">
        <f>D655*2/60</f>
        <v/>
      </c>
      <c r="F655" s="2" t="inlineStr">
        <is>
          <t>0011</t>
        </is>
      </c>
      <c r="G655" s="2" t="n">
        <v>2</v>
      </c>
      <c r="H655" s="2">
        <f>INDEX(Parametros!$B$2:$B$9,MATCH(G655,Parametros!$A$2:$A$9,0))</f>
        <v/>
      </c>
      <c r="I655" s="4">
        <f>1/(VALUE(MID(F655,1,1))/Parametros!$E$2+VALUE(MID(F655,2,1))/Parametros!$E$3+VALUE(MID(F655,3,1))/Parametros!$E$4+VALUE(MID(F655,4,1))/Parametros!$E$5)</f>
        <v/>
      </c>
      <c r="J655" s="5">
        <f>IF(G655=0,Parametros!$E$8,Parametros!$E$6+Parametros!$E$6*(Parametros!$E$7/G655+I655)/(Parametros!$E$6+Parametros!$E$7/G655+I655))</f>
        <v/>
      </c>
      <c r="K655" s="2" t="inlineStr">
        <is>
          <t>2026-09-24 16:25</t>
        </is>
      </c>
      <c r="L655" s="6" t="inlineStr">
        <is>
          <t>Válido</t>
        </is>
      </c>
      <c r="M655" s="2">
        <f>IF(L655="Válido","Sim","Não")</f>
        <v/>
      </c>
      <c r="N655" s="2" t="inlineStr"/>
    </row>
    <row r="656">
      <c r="A656" s="2" t="inlineStr">
        <is>
          <t>1Bracos_R0011_150W_2026-09-24_16_25.csv</t>
        </is>
      </c>
      <c r="B656" s="2" t="inlineStr">
        <is>
          <t>150W_3500RPM_R0011</t>
        </is>
      </c>
      <c r="C656" s="2" t="n">
        <v>150</v>
      </c>
      <c r="D656" s="2" t="n">
        <v>3500</v>
      </c>
      <c r="E656" s="3">
        <f>D656*2/60</f>
        <v/>
      </c>
      <c r="F656" s="2" t="inlineStr">
        <is>
          <t>0011</t>
        </is>
      </c>
      <c r="G656" s="2" t="n">
        <v>1</v>
      </c>
      <c r="H656" s="2">
        <f>INDEX(Parametros!$B$2:$B$9,MATCH(G656,Parametros!$A$2:$A$9,0))</f>
        <v/>
      </c>
      <c r="I656" s="4">
        <f>1/(VALUE(MID(F656,1,1))/Parametros!$E$2+VALUE(MID(F656,2,1))/Parametros!$E$3+VALUE(MID(F656,3,1))/Parametros!$E$4+VALUE(MID(F656,4,1))/Parametros!$E$5)</f>
        <v/>
      </c>
      <c r="J656" s="5">
        <f>IF(G656=0,Parametros!$E$8,Parametros!$E$6+Parametros!$E$6*(Parametros!$E$7/G656+I656)/(Parametros!$E$6+Parametros!$E$7/G656+I656))</f>
        <v/>
      </c>
      <c r="K656" s="2" t="inlineStr">
        <is>
          <t>2026-09-24 16:25</t>
        </is>
      </c>
      <c r="L656" s="6" t="inlineStr">
        <is>
          <t>Válido</t>
        </is>
      </c>
      <c r="M656" s="2">
        <f>IF(L656="Válido","Sim","Não")</f>
        <v/>
      </c>
      <c r="N656" s="2" t="inlineStr"/>
    </row>
    <row r="657">
      <c r="A657" s="2" t="inlineStr">
        <is>
          <t>0Bracos_R0011_150W_2026-09-24_16_25.csv</t>
        </is>
      </c>
      <c r="B657" s="2" t="inlineStr">
        <is>
          <t>150W_3500RPM_R0011</t>
        </is>
      </c>
      <c r="C657" s="2" t="n">
        <v>150</v>
      </c>
      <c r="D657" s="2" t="n">
        <v>3500</v>
      </c>
      <c r="E657" s="3">
        <f>D657*2/60</f>
        <v/>
      </c>
      <c r="F657" s="2" t="inlineStr">
        <is>
          <t>0011</t>
        </is>
      </c>
      <c r="G657" s="2" t="n">
        <v>0</v>
      </c>
      <c r="H657" s="2">
        <f>INDEX(Parametros!$B$2:$B$9,MATCH(G657,Parametros!$A$2:$A$9,0))</f>
        <v/>
      </c>
      <c r="I657" s="4">
        <f>1/(VALUE(MID(F657,1,1))/Parametros!$E$2+VALUE(MID(F657,2,1))/Parametros!$E$3+VALUE(MID(F657,3,1))/Parametros!$E$4+VALUE(MID(F657,4,1))/Parametros!$E$5)</f>
        <v/>
      </c>
      <c r="J657" s="5">
        <f>IF(G657=0,Parametros!$E$8,Parametros!$E$6+Parametros!$E$6*(Parametros!$E$7/G657+I657)/(Parametros!$E$6+Parametros!$E$7/G657+I657))</f>
        <v/>
      </c>
      <c r="K657" s="2" t="inlineStr">
        <is>
          <t>2026-09-24 16:25</t>
        </is>
      </c>
      <c r="L657" s="6" t="inlineStr">
        <is>
          <t>Válido</t>
        </is>
      </c>
      <c r="M657" s="2">
        <f>IF(L657="Válido","Sim","Não")</f>
        <v/>
      </c>
      <c r="N657" s="2" t="inlineStr"/>
    </row>
    <row r="658">
      <c r="A658" s="2" t="inlineStr">
        <is>
          <t>7Bracos_R0100_150W_2026-09-24_16_25.csv</t>
        </is>
      </c>
      <c r="B658" s="2" t="inlineStr">
        <is>
          <t>150W_3500RPM_R0100</t>
        </is>
      </c>
      <c r="C658" s="2" t="n">
        <v>150</v>
      </c>
      <c r="D658" s="2" t="n">
        <v>3500</v>
      </c>
      <c r="E658" s="3">
        <f>D658*2/60</f>
        <v/>
      </c>
      <c r="F658" s="2" t="inlineStr">
        <is>
          <t>0100</t>
        </is>
      </c>
      <c r="G658" s="2" t="n">
        <v>7</v>
      </c>
      <c r="H658" s="2">
        <f>INDEX(Parametros!$B$2:$B$9,MATCH(G658,Parametros!$A$2:$A$9,0))</f>
        <v/>
      </c>
      <c r="I658" s="4">
        <f>1/(VALUE(MID(F658,1,1))/Parametros!$E$2+VALUE(MID(F658,2,1))/Parametros!$E$3+VALUE(MID(F658,3,1))/Parametros!$E$4+VALUE(MID(F658,4,1))/Parametros!$E$5)</f>
        <v/>
      </c>
      <c r="J658" s="5">
        <f>IF(G658=0,Parametros!$E$8,Parametros!$E$6+Parametros!$E$6*(Parametros!$E$7/G658+I658)/(Parametros!$E$6+Parametros!$E$7/G658+I658))</f>
        <v/>
      </c>
      <c r="K658" s="2" t="inlineStr">
        <is>
          <t>2026-09-24 16:25</t>
        </is>
      </c>
      <c r="L658" s="6" t="inlineStr">
        <is>
          <t>Válido</t>
        </is>
      </c>
      <c r="M658" s="2">
        <f>IF(L658="Válido","Sim","Não")</f>
        <v/>
      </c>
      <c r="N658" s="2" t="inlineStr"/>
    </row>
    <row r="659">
      <c r="A659" s="2" t="inlineStr">
        <is>
          <t>6Bracos_R0100_150W_2026-09-24_16_25.csv</t>
        </is>
      </c>
      <c r="B659" s="2" t="inlineStr">
        <is>
          <t>150W_3500RPM_R0100</t>
        </is>
      </c>
      <c r="C659" s="2" t="n">
        <v>150</v>
      </c>
      <c r="D659" s="2" t="n">
        <v>3500</v>
      </c>
      <c r="E659" s="3">
        <f>D659*2/60</f>
        <v/>
      </c>
      <c r="F659" s="2" t="inlineStr">
        <is>
          <t>0100</t>
        </is>
      </c>
      <c r="G659" s="2" t="n">
        <v>6</v>
      </c>
      <c r="H659" s="2">
        <f>INDEX(Parametros!$B$2:$B$9,MATCH(G659,Parametros!$A$2:$A$9,0))</f>
        <v/>
      </c>
      <c r="I659" s="4">
        <f>1/(VALUE(MID(F659,1,1))/Parametros!$E$2+VALUE(MID(F659,2,1))/Parametros!$E$3+VALUE(MID(F659,3,1))/Parametros!$E$4+VALUE(MID(F659,4,1))/Parametros!$E$5)</f>
        <v/>
      </c>
      <c r="J659" s="5">
        <f>IF(G659=0,Parametros!$E$8,Parametros!$E$6+Parametros!$E$6*(Parametros!$E$7/G659+I659)/(Parametros!$E$6+Parametros!$E$7/G659+I659))</f>
        <v/>
      </c>
      <c r="K659" s="2" t="inlineStr">
        <is>
          <t>2026-09-24 16:25</t>
        </is>
      </c>
      <c r="L659" s="6" t="inlineStr">
        <is>
          <t>Válido</t>
        </is>
      </c>
      <c r="M659" s="2">
        <f>IF(L659="Válido","Sim","Não")</f>
        <v/>
      </c>
      <c r="N659" s="2" t="inlineStr"/>
    </row>
    <row r="660">
      <c r="A660" s="2" t="inlineStr">
        <is>
          <t>5Bracos_R0100_150W_2026-09-24_16_25.csv</t>
        </is>
      </c>
      <c r="B660" s="2" t="inlineStr">
        <is>
          <t>150W_3500RPM_R0100</t>
        </is>
      </c>
      <c r="C660" s="2" t="n">
        <v>150</v>
      </c>
      <c r="D660" s="2" t="n">
        <v>3500</v>
      </c>
      <c r="E660" s="3">
        <f>D660*2/60</f>
        <v/>
      </c>
      <c r="F660" s="2" t="inlineStr">
        <is>
          <t>0100</t>
        </is>
      </c>
      <c r="G660" s="2" t="n">
        <v>5</v>
      </c>
      <c r="H660" s="2">
        <f>INDEX(Parametros!$B$2:$B$9,MATCH(G660,Parametros!$A$2:$A$9,0))</f>
        <v/>
      </c>
      <c r="I660" s="4">
        <f>1/(VALUE(MID(F660,1,1))/Parametros!$E$2+VALUE(MID(F660,2,1))/Parametros!$E$3+VALUE(MID(F660,3,1))/Parametros!$E$4+VALUE(MID(F660,4,1))/Parametros!$E$5)</f>
        <v/>
      </c>
      <c r="J660" s="5">
        <f>IF(G660=0,Parametros!$E$8,Parametros!$E$6+Parametros!$E$6*(Parametros!$E$7/G660+I660)/(Parametros!$E$6+Parametros!$E$7/G660+I660))</f>
        <v/>
      </c>
      <c r="K660" s="2" t="inlineStr">
        <is>
          <t>2026-09-24 16:25</t>
        </is>
      </c>
      <c r="L660" s="6" t="inlineStr">
        <is>
          <t>Válido</t>
        </is>
      </c>
      <c r="M660" s="2">
        <f>IF(L660="Válido","Sim","Não")</f>
        <v/>
      </c>
      <c r="N660" s="2" t="inlineStr"/>
    </row>
    <row r="661">
      <c r="A661" s="2" t="inlineStr">
        <is>
          <t>4Bracos_R0100_150W_2026-09-24_16_25.csv</t>
        </is>
      </c>
      <c r="B661" s="2" t="inlineStr">
        <is>
          <t>150W_3500RPM_R0100</t>
        </is>
      </c>
      <c r="C661" s="2" t="n">
        <v>150</v>
      </c>
      <c r="D661" s="2" t="n">
        <v>3500</v>
      </c>
      <c r="E661" s="3">
        <f>D661*2/60</f>
        <v/>
      </c>
      <c r="F661" s="2" t="inlineStr">
        <is>
          <t>0100</t>
        </is>
      </c>
      <c r="G661" s="2" t="n">
        <v>4</v>
      </c>
      <c r="H661" s="2">
        <f>INDEX(Parametros!$B$2:$B$9,MATCH(G661,Parametros!$A$2:$A$9,0))</f>
        <v/>
      </c>
      <c r="I661" s="4">
        <f>1/(VALUE(MID(F661,1,1))/Parametros!$E$2+VALUE(MID(F661,2,1))/Parametros!$E$3+VALUE(MID(F661,3,1))/Parametros!$E$4+VALUE(MID(F661,4,1))/Parametros!$E$5)</f>
        <v/>
      </c>
      <c r="J661" s="5">
        <f>IF(G661=0,Parametros!$E$8,Parametros!$E$6+Parametros!$E$6*(Parametros!$E$7/G661+I661)/(Parametros!$E$6+Parametros!$E$7/G661+I661))</f>
        <v/>
      </c>
      <c r="K661" s="2" t="inlineStr">
        <is>
          <t>2026-09-24 16:25</t>
        </is>
      </c>
      <c r="L661" s="6" t="inlineStr">
        <is>
          <t>Válido</t>
        </is>
      </c>
      <c r="M661" s="2">
        <f>IF(L661="Válido","Sim","Não")</f>
        <v/>
      </c>
      <c r="N661" s="2" t="inlineStr"/>
    </row>
    <row r="662">
      <c r="A662" s="2" t="inlineStr">
        <is>
          <t>3Bracos_R0100_150W_2026-09-24_16_25.csv</t>
        </is>
      </c>
      <c r="B662" s="2" t="inlineStr">
        <is>
          <t>150W_3500RPM_R0100</t>
        </is>
      </c>
      <c r="C662" s="2" t="n">
        <v>150</v>
      </c>
      <c r="D662" s="2" t="n">
        <v>3500</v>
      </c>
      <c r="E662" s="3">
        <f>D662*2/60</f>
        <v/>
      </c>
      <c r="F662" s="2" t="inlineStr">
        <is>
          <t>0100</t>
        </is>
      </c>
      <c r="G662" s="2" t="n">
        <v>3</v>
      </c>
      <c r="H662" s="2">
        <f>INDEX(Parametros!$B$2:$B$9,MATCH(G662,Parametros!$A$2:$A$9,0))</f>
        <v/>
      </c>
      <c r="I662" s="4">
        <f>1/(VALUE(MID(F662,1,1))/Parametros!$E$2+VALUE(MID(F662,2,1))/Parametros!$E$3+VALUE(MID(F662,3,1))/Parametros!$E$4+VALUE(MID(F662,4,1))/Parametros!$E$5)</f>
        <v/>
      </c>
      <c r="J662" s="5">
        <f>IF(G662=0,Parametros!$E$8,Parametros!$E$6+Parametros!$E$6*(Parametros!$E$7/G662+I662)/(Parametros!$E$6+Parametros!$E$7/G662+I662))</f>
        <v/>
      </c>
      <c r="K662" s="2" t="inlineStr">
        <is>
          <t>2026-09-24 16:25</t>
        </is>
      </c>
      <c r="L662" s="6" t="inlineStr">
        <is>
          <t>Válido</t>
        </is>
      </c>
      <c r="M662" s="2">
        <f>IF(L662="Válido","Sim","Não")</f>
        <v/>
      </c>
      <c r="N662" s="2" t="inlineStr"/>
    </row>
    <row r="663">
      <c r="A663" s="2" t="inlineStr">
        <is>
          <t>2Bracos_R0100_150W_2026-09-24_16_25.csv</t>
        </is>
      </c>
      <c r="B663" s="2" t="inlineStr">
        <is>
          <t>150W_3500RPM_R0100</t>
        </is>
      </c>
      <c r="C663" s="2" t="n">
        <v>150</v>
      </c>
      <c r="D663" s="2" t="n">
        <v>3500</v>
      </c>
      <c r="E663" s="3">
        <f>D663*2/60</f>
        <v/>
      </c>
      <c r="F663" s="2" t="inlineStr">
        <is>
          <t>0100</t>
        </is>
      </c>
      <c r="G663" s="2" t="n">
        <v>2</v>
      </c>
      <c r="H663" s="2">
        <f>INDEX(Parametros!$B$2:$B$9,MATCH(G663,Parametros!$A$2:$A$9,0))</f>
        <v/>
      </c>
      <c r="I663" s="4">
        <f>1/(VALUE(MID(F663,1,1))/Parametros!$E$2+VALUE(MID(F663,2,1))/Parametros!$E$3+VALUE(MID(F663,3,1))/Parametros!$E$4+VALUE(MID(F663,4,1))/Parametros!$E$5)</f>
        <v/>
      </c>
      <c r="J663" s="5">
        <f>IF(G663=0,Parametros!$E$8,Parametros!$E$6+Parametros!$E$6*(Parametros!$E$7/G663+I663)/(Parametros!$E$6+Parametros!$E$7/G663+I663))</f>
        <v/>
      </c>
      <c r="K663" s="2" t="inlineStr">
        <is>
          <t>2026-09-24 16:25</t>
        </is>
      </c>
      <c r="L663" s="6" t="inlineStr">
        <is>
          <t>Válido</t>
        </is>
      </c>
      <c r="M663" s="2">
        <f>IF(L663="Válido","Sim","Não")</f>
        <v/>
      </c>
      <c r="N663" s="2" t="inlineStr"/>
    </row>
    <row r="664">
      <c r="A664" s="2" t="inlineStr">
        <is>
          <t>1Bracos_R0100_150W_2026-09-24_16_25.csv</t>
        </is>
      </c>
      <c r="B664" s="2" t="inlineStr">
        <is>
          <t>150W_3500RPM_R0100</t>
        </is>
      </c>
      <c r="C664" s="2" t="n">
        <v>150</v>
      </c>
      <c r="D664" s="2" t="n">
        <v>3500</v>
      </c>
      <c r="E664" s="3">
        <f>D664*2/60</f>
        <v/>
      </c>
      <c r="F664" s="2" t="inlineStr">
        <is>
          <t>0100</t>
        </is>
      </c>
      <c r="G664" s="2" t="n">
        <v>1</v>
      </c>
      <c r="H664" s="2">
        <f>INDEX(Parametros!$B$2:$B$9,MATCH(G664,Parametros!$A$2:$A$9,0))</f>
        <v/>
      </c>
      <c r="I664" s="4">
        <f>1/(VALUE(MID(F664,1,1))/Parametros!$E$2+VALUE(MID(F664,2,1))/Parametros!$E$3+VALUE(MID(F664,3,1))/Parametros!$E$4+VALUE(MID(F664,4,1))/Parametros!$E$5)</f>
        <v/>
      </c>
      <c r="J664" s="5">
        <f>IF(G664=0,Parametros!$E$8,Parametros!$E$6+Parametros!$E$6*(Parametros!$E$7/G664+I664)/(Parametros!$E$6+Parametros!$E$7/G664+I664))</f>
        <v/>
      </c>
      <c r="K664" s="2" t="inlineStr">
        <is>
          <t>2026-09-24 16:25</t>
        </is>
      </c>
      <c r="L664" s="6" t="inlineStr">
        <is>
          <t>Válido</t>
        </is>
      </c>
      <c r="M664" s="2">
        <f>IF(L664="Válido","Sim","Não")</f>
        <v/>
      </c>
      <c r="N664" s="2" t="inlineStr"/>
    </row>
    <row r="665">
      <c r="A665" s="2" t="inlineStr">
        <is>
          <t>0Bracos_R0100_150W_2026-09-24_16_25.csv</t>
        </is>
      </c>
      <c r="B665" s="2" t="inlineStr">
        <is>
          <t>150W_3500RPM_R0100</t>
        </is>
      </c>
      <c r="C665" s="2" t="n">
        <v>150</v>
      </c>
      <c r="D665" s="2" t="n">
        <v>3500</v>
      </c>
      <c r="E665" s="3">
        <f>D665*2/60</f>
        <v/>
      </c>
      <c r="F665" s="2" t="inlineStr">
        <is>
          <t>0100</t>
        </is>
      </c>
      <c r="G665" s="2" t="n">
        <v>0</v>
      </c>
      <c r="H665" s="2">
        <f>INDEX(Parametros!$B$2:$B$9,MATCH(G665,Parametros!$A$2:$A$9,0))</f>
        <v/>
      </c>
      <c r="I665" s="4">
        <f>1/(VALUE(MID(F665,1,1))/Parametros!$E$2+VALUE(MID(F665,2,1))/Parametros!$E$3+VALUE(MID(F665,3,1))/Parametros!$E$4+VALUE(MID(F665,4,1))/Parametros!$E$5)</f>
        <v/>
      </c>
      <c r="J665" s="5">
        <f>IF(G665=0,Parametros!$E$8,Parametros!$E$6+Parametros!$E$6*(Parametros!$E$7/G665+I665)/(Parametros!$E$6+Parametros!$E$7/G665+I665))</f>
        <v/>
      </c>
      <c r="K665" s="2" t="inlineStr">
        <is>
          <t>2026-09-24 16:25</t>
        </is>
      </c>
      <c r="L665" s="6" t="inlineStr">
        <is>
          <t>Válido</t>
        </is>
      </c>
      <c r="M665" s="2">
        <f>IF(L665="Válido","Sim","Não")</f>
        <v/>
      </c>
      <c r="N665" s="2" t="inlineStr"/>
    </row>
    <row r="666">
      <c r="A666" s="2" t="inlineStr">
        <is>
          <t>7Bracos_R0101_150W_2026-09-24_16_25.csv</t>
        </is>
      </c>
      <c r="B666" s="2" t="inlineStr">
        <is>
          <t>150W_3500RPM_R0101</t>
        </is>
      </c>
      <c r="C666" s="2" t="n">
        <v>150</v>
      </c>
      <c r="D666" s="2" t="n">
        <v>3500</v>
      </c>
      <c r="E666" s="3">
        <f>D666*2/60</f>
        <v/>
      </c>
      <c r="F666" s="2" t="inlineStr">
        <is>
          <t>0101</t>
        </is>
      </c>
      <c r="G666" s="2" t="n">
        <v>7</v>
      </c>
      <c r="H666" s="2">
        <f>INDEX(Parametros!$B$2:$B$9,MATCH(G666,Parametros!$A$2:$A$9,0))</f>
        <v/>
      </c>
      <c r="I666" s="4">
        <f>1/(VALUE(MID(F666,1,1))/Parametros!$E$2+VALUE(MID(F666,2,1))/Parametros!$E$3+VALUE(MID(F666,3,1))/Parametros!$E$4+VALUE(MID(F666,4,1))/Parametros!$E$5)</f>
        <v/>
      </c>
      <c r="J666" s="5">
        <f>IF(G666=0,Parametros!$E$8,Parametros!$E$6+Parametros!$E$6*(Parametros!$E$7/G666+I666)/(Parametros!$E$6+Parametros!$E$7/G666+I666))</f>
        <v/>
      </c>
      <c r="K666" s="2" t="inlineStr">
        <is>
          <t>2026-09-24 16:25</t>
        </is>
      </c>
      <c r="L666" s="6" t="inlineStr">
        <is>
          <t>Válido</t>
        </is>
      </c>
      <c r="M666" s="2">
        <f>IF(L666="Válido","Sim","Não")</f>
        <v/>
      </c>
      <c r="N666" s="2" t="inlineStr"/>
    </row>
    <row r="667">
      <c r="A667" s="2" t="inlineStr">
        <is>
          <t>6Bracos_R0101_150W_2026-09-24_16_25.csv</t>
        </is>
      </c>
      <c r="B667" s="2" t="inlineStr">
        <is>
          <t>150W_3500RPM_R0101</t>
        </is>
      </c>
      <c r="C667" s="2" t="n">
        <v>150</v>
      </c>
      <c r="D667" s="2" t="n">
        <v>3500</v>
      </c>
      <c r="E667" s="3">
        <f>D667*2/60</f>
        <v/>
      </c>
      <c r="F667" s="2" t="inlineStr">
        <is>
          <t>0101</t>
        </is>
      </c>
      <c r="G667" s="2" t="n">
        <v>6</v>
      </c>
      <c r="H667" s="2">
        <f>INDEX(Parametros!$B$2:$B$9,MATCH(G667,Parametros!$A$2:$A$9,0))</f>
        <v/>
      </c>
      <c r="I667" s="4">
        <f>1/(VALUE(MID(F667,1,1))/Parametros!$E$2+VALUE(MID(F667,2,1))/Parametros!$E$3+VALUE(MID(F667,3,1))/Parametros!$E$4+VALUE(MID(F667,4,1))/Parametros!$E$5)</f>
        <v/>
      </c>
      <c r="J667" s="5">
        <f>IF(G667=0,Parametros!$E$8,Parametros!$E$6+Parametros!$E$6*(Parametros!$E$7/G667+I667)/(Parametros!$E$6+Parametros!$E$7/G667+I667))</f>
        <v/>
      </c>
      <c r="K667" s="2" t="inlineStr">
        <is>
          <t>2026-09-24 16:25</t>
        </is>
      </c>
      <c r="L667" s="6" t="inlineStr">
        <is>
          <t>Válido</t>
        </is>
      </c>
      <c r="M667" s="2">
        <f>IF(L667="Válido","Sim","Não")</f>
        <v/>
      </c>
      <c r="N667" s="2" t="inlineStr"/>
    </row>
    <row r="668">
      <c r="A668" s="2" t="inlineStr">
        <is>
          <t>5Bracos_R0101_150W_2026-09-24_16_25.csv</t>
        </is>
      </c>
      <c r="B668" s="2" t="inlineStr">
        <is>
          <t>150W_3500RPM_R0101</t>
        </is>
      </c>
      <c r="C668" s="2" t="n">
        <v>150</v>
      </c>
      <c r="D668" s="2" t="n">
        <v>3500</v>
      </c>
      <c r="E668" s="3">
        <f>D668*2/60</f>
        <v/>
      </c>
      <c r="F668" s="2" t="inlineStr">
        <is>
          <t>0101</t>
        </is>
      </c>
      <c r="G668" s="2" t="n">
        <v>5</v>
      </c>
      <c r="H668" s="2">
        <f>INDEX(Parametros!$B$2:$B$9,MATCH(G668,Parametros!$A$2:$A$9,0))</f>
        <v/>
      </c>
      <c r="I668" s="4">
        <f>1/(VALUE(MID(F668,1,1))/Parametros!$E$2+VALUE(MID(F668,2,1))/Parametros!$E$3+VALUE(MID(F668,3,1))/Parametros!$E$4+VALUE(MID(F668,4,1))/Parametros!$E$5)</f>
        <v/>
      </c>
      <c r="J668" s="5">
        <f>IF(G668=0,Parametros!$E$8,Parametros!$E$6+Parametros!$E$6*(Parametros!$E$7/G668+I668)/(Parametros!$E$6+Parametros!$E$7/G668+I668))</f>
        <v/>
      </c>
      <c r="K668" s="2" t="inlineStr">
        <is>
          <t>2026-09-24 16:25</t>
        </is>
      </c>
      <c r="L668" s="6" t="inlineStr">
        <is>
          <t>Válido</t>
        </is>
      </c>
      <c r="M668" s="2">
        <f>IF(L668="Válido","Sim","Não")</f>
        <v/>
      </c>
      <c r="N668" s="2" t="inlineStr"/>
    </row>
    <row r="669">
      <c r="A669" s="2" t="inlineStr">
        <is>
          <t>4Bracos_R0101_150W_2026-09-24_16_25.csv</t>
        </is>
      </c>
      <c r="B669" s="2" t="inlineStr">
        <is>
          <t>150W_3500RPM_R0101</t>
        </is>
      </c>
      <c r="C669" s="2" t="n">
        <v>150</v>
      </c>
      <c r="D669" s="2" t="n">
        <v>3500</v>
      </c>
      <c r="E669" s="3">
        <f>D669*2/60</f>
        <v/>
      </c>
      <c r="F669" s="2" t="inlineStr">
        <is>
          <t>0101</t>
        </is>
      </c>
      <c r="G669" s="2" t="n">
        <v>4</v>
      </c>
      <c r="H669" s="2">
        <f>INDEX(Parametros!$B$2:$B$9,MATCH(G669,Parametros!$A$2:$A$9,0))</f>
        <v/>
      </c>
      <c r="I669" s="4">
        <f>1/(VALUE(MID(F669,1,1))/Parametros!$E$2+VALUE(MID(F669,2,1))/Parametros!$E$3+VALUE(MID(F669,3,1))/Parametros!$E$4+VALUE(MID(F669,4,1))/Parametros!$E$5)</f>
        <v/>
      </c>
      <c r="J669" s="5">
        <f>IF(G669=0,Parametros!$E$8,Parametros!$E$6+Parametros!$E$6*(Parametros!$E$7/G669+I669)/(Parametros!$E$6+Parametros!$E$7/G669+I669))</f>
        <v/>
      </c>
      <c r="K669" s="2" t="inlineStr">
        <is>
          <t>2026-09-24 16:25</t>
        </is>
      </c>
      <c r="L669" s="6" t="inlineStr">
        <is>
          <t>Válido</t>
        </is>
      </c>
      <c r="M669" s="2">
        <f>IF(L669="Válido","Sim","Não")</f>
        <v/>
      </c>
      <c r="N669" s="2" t="inlineStr"/>
    </row>
    <row r="670">
      <c r="A670" s="2" t="inlineStr">
        <is>
          <t>3Bracos_R0101_150W_2026-09-24_16_25.csv</t>
        </is>
      </c>
      <c r="B670" s="2" t="inlineStr">
        <is>
          <t>150W_3500RPM_R0101</t>
        </is>
      </c>
      <c r="C670" s="2" t="n">
        <v>150</v>
      </c>
      <c r="D670" s="2" t="n">
        <v>3500</v>
      </c>
      <c r="E670" s="3">
        <f>D670*2/60</f>
        <v/>
      </c>
      <c r="F670" s="2" t="inlineStr">
        <is>
          <t>0101</t>
        </is>
      </c>
      <c r="G670" s="2" t="n">
        <v>3</v>
      </c>
      <c r="H670" s="2">
        <f>INDEX(Parametros!$B$2:$B$9,MATCH(G670,Parametros!$A$2:$A$9,0))</f>
        <v/>
      </c>
      <c r="I670" s="4">
        <f>1/(VALUE(MID(F670,1,1))/Parametros!$E$2+VALUE(MID(F670,2,1))/Parametros!$E$3+VALUE(MID(F670,3,1))/Parametros!$E$4+VALUE(MID(F670,4,1))/Parametros!$E$5)</f>
        <v/>
      </c>
      <c r="J670" s="5">
        <f>IF(G670=0,Parametros!$E$8,Parametros!$E$6+Parametros!$E$6*(Parametros!$E$7/G670+I670)/(Parametros!$E$6+Parametros!$E$7/G670+I670))</f>
        <v/>
      </c>
      <c r="K670" s="2" t="inlineStr">
        <is>
          <t>2026-09-24 16:25</t>
        </is>
      </c>
      <c r="L670" s="6" t="inlineStr">
        <is>
          <t>Válido</t>
        </is>
      </c>
      <c r="M670" s="2">
        <f>IF(L670="Válido","Sim","Não")</f>
        <v/>
      </c>
      <c r="N670" s="2" t="inlineStr"/>
    </row>
    <row r="671">
      <c r="A671" s="2" t="inlineStr">
        <is>
          <t>2Bracos_R0101_150W_2026-09-24_16_25.csv</t>
        </is>
      </c>
      <c r="B671" s="2" t="inlineStr">
        <is>
          <t>150W_3500RPM_R0101</t>
        </is>
      </c>
      <c r="C671" s="2" t="n">
        <v>150</v>
      </c>
      <c r="D671" s="2" t="n">
        <v>3500</v>
      </c>
      <c r="E671" s="3">
        <f>D671*2/60</f>
        <v/>
      </c>
      <c r="F671" s="2" t="inlineStr">
        <is>
          <t>0101</t>
        </is>
      </c>
      <c r="G671" s="2" t="n">
        <v>2</v>
      </c>
      <c r="H671" s="2">
        <f>INDEX(Parametros!$B$2:$B$9,MATCH(G671,Parametros!$A$2:$A$9,0))</f>
        <v/>
      </c>
      <c r="I671" s="4">
        <f>1/(VALUE(MID(F671,1,1))/Parametros!$E$2+VALUE(MID(F671,2,1))/Parametros!$E$3+VALUE(MID(F671,3,1))/Parametros!$E$4+VALUE(MID(F671,4,1))/Parametros!$E$5)</f>
        <v/>
      </c>
      <c r="J671" s="5">
        <f>IF(G671=0,Parametros!$E$8,Parametros!$E$6+Parametros!$E$6*(Parametros!$E$7/G671+I671)/(Parametros!$E$6+Parametros!$E$7/G671+I671))</f>
        <v/>
      </c>
      <c r="K671" s="2" t="inlineStr">
        <is>
          <t>2026-09-24 16:25</t>
        </is>
      </c>
      <c r="L671" s="6" t="inlineStr">
        <is>
          <t>Válido</t>
        </is>
      </c>
      <c r="M671" s="2">
        <f>IF(L671="Válido","Sim","Não")</f>
        <v/>
      </c>
      <c r="N671" s="2" t="inlineStr"/>
    </row>
    <row r="672">
      <c r="A672" s="2" t="inlineStr">
        <is>
          <t>1Bracos_R0101_150W_2026-09-24_16_25.csv</t>
        </is>
      </c>
      <c r="B672" s="2" t="inlineStr">
        <is>
          <t>150W_3500RPM_R0101</t>
        </is>
      </c>
      <c r="C672" s="2" t="n">
        <v>150</v>
      </c>
      <c r="D672" s="2" t="n">
        <v>3500</v>
      </c>
      <c r="E672" s="3">
        <f>D672*2/60</f>
        <v/>
      </c>
      <c r="F672" s="2" t="inlineStr">
        <is>
          <t>0101</t>
        </is>
      </c>
      <c r="G672" s="2" t="n">
        <v>1</v>
      </c>
      <c r="H672" s="2">
        <f>INDEX(Parametros!$B$2:$B$9,MATCH(G672,Parametros!$A$2:$A$9,0))</f>
        <v/>
      </c>
      <c r="I672" s="4">
        <f>1/(VALUE(MID(F672,1,1))/Parametros!$E$2+VALUE(MID(F672,2,1))/Parametros!$E$3+VALUE(MID(F672,3,1))/Parametros!$E$4+VALUE(MID(F672,4,1))/Parametros!$E$5)</f>
        <v/>
      </c>
      <c r="J672" s="5">
        <f>IF(G672=0,Parametros!$E$8,Parametros!$E$6+Parametros!$E$6*(Parametros!$E$7/G672+I672)/(Parametros!$E$6+Parametros!$E$7/G672+I672))</f>
        <v/>
      </c>
      <c r="K672" s="2" t="inlineStr">
        <is>
          <t>2026-09-24 16:25</t>
        </is>
      </c>
      <c r="L672" s="6" t="inlineStr">
        <is>
          <t>Válido</t>
        </is>
      </c>
      <c r="M672" s="2">
        <f>IF(L672="Válido","Sim","Não")</f>
        <v/>
      </c>
      <c r="N672" s="2" t="inlineStr"/>
    </row>
    <row r="673">
      <c r="A673" s="2" t="inlineStr">
        <is>
          <t>0Bracos_R0101_150W_2026-09-24_16_25.csv</t>
        </is>
      </c>
      <c r="B673" s="2" t="inlineStr">
        <is>
          <t>150W_3500RPM_R0101</t>
        </is>
      </c>
      <c r="C673" s="2" t="n">
        <v>150</v>
      </c>
      <c r="D673" s="2" t="n">
        <v>3500</v>
      </c>
      <c r="E673" s="3">
        <f>D673*2/60</f>
        <v/>
      </c>
      <c r="F673" s="2" t="inlineStr">
        <is>
          <t>0101</t>
        </is>
      </c>
      <c r="G673" s="2" t="n">
        <v>0</v>
      </c>
      <c r="H673" s="2">
        <f>INDEX(Parametros!$B$2:$B$9,MATCH(G673,Parametros!$A$2:$A$9,0))</f>
        <v/>
      </c>
      <c r="I673" s="4">
        <f>1/(VALUE(MID(F673,1,1))/Parametros!$E$2+VALUE(MID(F673,2,1))/Parametros!$E$3+VALUE(MID(F673,3,1))/Parametros!$E$4+VALUE(MID(F673,4,1))/Parametros!$E$5)</f>
        <v/>
      </c>
      <c r="J673" s="5">
        <f>IF(G673=0,Parametros!$E$8,Parametros!$E$6+Parametros!$E$6*(Parametros!$E$7/G673+I673)/(Parametros!$E$6+Parametros!$E$7/G673+I673))</f>
        <v/>
      </c>
      <c r="K673" s="2" t="inlineStr">
        <is>
          <t>2026-09-24 16:25</t>
        </is>
      </c>
      <c r="L673" s="6" t="inlineStr">
        <is>
          <t>Válido</t>
        </is>
      </c>
      <c r="M673" s="2">
        <f>IF(L673="Válido","Sim","Não")</f>
        <v/>
      </c>
      <c r="N673" s="2" t="inlineStr"/>
    </row>
    <row r="674">
      <c r="A674" s="2" t="inlineStr">
        <is>
          <t>7Bracos_R0110_150W_2026-09-24_16_25.csv</t>
        </is>
      </c>
      <c r="B674" s="2" t="inlineStr">
        <is>
          <t>150W_3500RPM_R0110</t>
        </is>
      </c>
      <c r="C674" s="2" t="n">
        <v>150</v>
      </c>
      <c r="D674" s="2" t="n">
        <v>3500</v>
      </c>
      <c r="E674" s="3">
        <f>D674*2/60</f>
        <v/>
      </c>
      <c r="F674" s="2" t="inlineStr">
        <is>
          <t>0110</t>
        </is>
      </c>
      <c r="G674" s="2" t="n">
        <v>7</v>
      </c>
      <c r="H674" s="2">
        <f>INDEX(Parametros!$B$2:$B$9,MATCH(G674,Parametros!$A$2:$A$9,0))</f>
        <v/>
      </c>
      <c r="I674" s="4">
        <f>1/(VALUE(MID(F674,1,1))/Parametros!$E$2+VALUE(MID(F674,2,1))/Parametros!$E$3+VALUE(MID(F674,3,1))/Parametros!$E$4+VALUE(MID(F674,4,1))/Parametros!$E$5)</f>
        <v/>
      </c>
      <c r="J674" s="5">
        <f>IF(G674=0,Parametros!$E$8,Parametros!$E$6+Parametros!$E$6*(Parametros!$E$7/G674+I674)/(Parametros!$E$6+Parametros!$E$7/G674+I674))</f>
        <v/>
      </c>
      <c r="K674" s="2" t="inlineStr">
        <is>
          <t>2026-09-24 16:25</t>
        </is>
      </c>
      <c r="L674" s="6" t="inlineStr">
        <is>
          <t>Válido</t>
        </is>
      </c>
      <c r="M674" s="2">
        <f>IF(L674="Válido","Sim","Não")</f>
        <v/>
      </c>
      <c r="N674" s="2" t="inlineStr"/>
    </row>
    <row r="675">
      <c r="A675" s="2" t="inlineStr">
        <is>
          <t>6Bracos_R0110_150W_2026-09-24_16_25.csv</t>
        </is>
      </c>
      <c r="B675" s="2" t="inlineStr">
        <is>
          <t>150W_3500RPM_R0110</t>
        </is>
      </c>
      <c r="C675" s="2" t="n">
        <v>150</v>
      </c>
      <c r="D675" s="2" t="n">
        <v>3500</v>
      </c>
      <c r="E675" s="3">
        <f>D675*2/60</f>
        <v/>
      </c>
      <c r="F675" s="2" t="inlineStr">
        <is>
          <t>0110</t>
        </is>
      </c>
      <c r="G675" s="2" t="n">
        <v>6</v>
      </c>
      <c r="H675" s="2">
        <f>INDEX(Parametros!$B$2:$B$9,MATCH(G675,Parametros!$A$2:$A$9,0))</f>
        <v/>
      </c>
      <c r="I675" s="4">
        <f>1/(VALUE(MID(F675,1,1))/Parametros!$E$2+VALUE(MID(F675,2,1))/Parametros!$E$3+VALUE(MID(F675,3,1))/Parametros!$E$4+VALUE(MID(F675,4,1))/Parametros!$E$5)</f>
        <v/>
      </c>
      <c r="J675" s="5">
        <f>IF(G675=0,Parametros!$E$8,Parametros!$E$6+Parametros!$E$6*(Parametros!$E$7/G675+I675)/(Parametros!$E$6+Parametros!$E$7/G675+I675))</f>
        <v/>
      </c>
      <c r="K675" s="2" t="inlineStr">
        <is>
          <t>2026-09-24 16:25</t>
        </is>
      </c>
      <c r="L675" s="6" t="inlineStr">
        <is>
          <t>Válido</t>
        </is>
      </c>
      <c r="M675" s="2">
        <f>IF(L675="Válido","Sim","Não")</f>
        <v/>
      </c>
      <c r="N675" s="2" t="inlineStr"/>
    </row>
    <row r="676">
      <c r="A676" s="2" t="inlineStr">
        <is>
          <t>5Bracos_R0110_150W_2026-09-24_16_25.csv</t>
        </is>
      </c>
      <c r="B676" s="2" t="inlineStr">
        <is>
          <t>150W_3500RPM_R0110</t>
        </is>
      </c>
      <c r="C676" s="2" t="n">
        <v>150</v>
      </c>
      <c r="D676" s="2" t="n">
        <v>3500</v>
      </c>
      <c r="E676" s="3">
        <f>D676*2/60</f>
        <v/>
      </c>
      <c r="F676" s="2" t="inlineStr">
        <is>
          <t>0110</t>
        </is>
      </c>
      <c r="G676" s="2" t="n">
        <v>5</v>
      </c>
      <c r="H676" s="2">
        <f>INDEX(Parametros!$B$2:$B$9,MATCH(G676,Parametros!$A$2:$A$9,0))</f>
        <v/>
      </c>
      <c r="I676" s="4">
        <f>1/(VALUE(MID(F676,1,1))/Parametros!$E$2+VALUE(MID(F676,2,1))/Parametros!$E$3+VALUE(MID(F676,3,1))/Parametros!$E$4+VALUE(MID(F676,4,1))/Parametros!$E$5)</f>
        <v/>
      </c>
      <c r="J676" s="5">
        <f>IF(G676=0,Parametros!$E$8,Parametros!$E$6+Parametros!$E$6*(Parametros!$E$7/G676+I676)/(Parametros!$E$6+Parametros!$E$7/G676+I676))</f>
        <v/>
      </c>
      <c r="K676" s="2" t="inlineStr">
        <is>
          <t>2026-09-24 16:25</t>
        </is>
      </c>
      <c r="L676" s="6" t="inlineStr">
        <is>
          <t>Válido</t>
        </is>
      </c>
      <c r="M676" s="2">
        <f>IF(L676="Válido","Sim","Não")</f>
        <v/>
      </c>
      <c r="N676" s="2" t="inlineStr"/>
    </row>
    <row r="677">
      <c r="A677" s="2" t="inlineStr">
        <is>
          <t>4Bracos_R0110_150W_2026-09-24_16_25.csv</t>
        </is>
      </c>
      <c r="B677" s="2" t="inlineStr">
        <is>
          <t>150W_3500RPM_R0110</t>
        </is>
      </c>
      <c r="C677" s="2" t="n">
        <v>150</v>
      </c>
      <c r="D677" s="2" t="n">
        <v>3500</v>
      </c>
      <c r="E677" s="3">
        <f>D677*2/60</f>
        <v/>
      </c>
      <c r="F677" s="2" t="inlineStr">
        <is>
          <t>0110</t>
        </is>
      </c>
      <c r="G677" s="2" t="n">
        <v>4</v>
      </c>
      <c r="H677" s="2">
        <f>INDEX(Parametros!$B$2:$B$9,MATCH(G677,Parametros!$A$2:$A$9,0))</f>
        <v/>
      </c>
      <c r="I677" s="4">
        <f>1/(VALUE(MID(F677,1,1))/Parametros!$E$2+VALUE(MID(F677,2,1))/Parametros!$E$3+VALUE(MID(F677,3,1))/Parametros!$E$4+VALUE(MID(F677,4,1))/Parametros!$E$5)</f>
        <v/>
      </c>
      <c r="J677" s="5">
        <f>IF(G677=0,Parametros!$E$8,Parametros!$E$6+Parametros!$E$6*(Parametros!$E$7/G677+I677)/(Parametros!$E$6+Parametros!$E$7/G677+I677))</f>
        <v/>
      </c>
      <c r="K677" s="2" t="inlineStr">
        <is>
          <t>2026-09-24 16:25</t>
        </is>
      </c>
      <c r="L677" s="6" t="inlineStr">
        <is>
          <t>Válido</t>
        </is>
      </c>
      <c r="M677" s="2">
        <f>IF(L677="Válido","Sim","Não")</f>
        <v/>
      </c>
      <c r="N677" s="2" t="inlineStr"/>
    </row>
    <row r="678">
      <c r="A678" s="2" t="inlineStr">
        <is>
          <t>3Bracos_R0110_150W_2026-09-24_16_25.csv</t>
        </is>
      </c>
      <c r="B678" s="2" t="inlineStr">
        <is>
          <t>150W_3500RPM_R0110</t>
        </is>
      </c>
      <c r="C678" s="2" t="n">
        <v>150</v>
      </c>
      <c r="D678" s="2" t="n">
        <v>3500</v>
      </c>
      <c r="E678" s="3">
        <f>D678*2/60</f>
        <v/>
      </c>
      <c r="F678" s="2" t="inlineStr">
        <is>
          <t>0110</t>
        </is>
      </c>
      <c r="G678" s="2" t="n">
        <v>3</v>
      </c>
      <c r="H678" s="2">
        <f>INDEX(Parametros!$B$2:$B$9,MATCH(G678,Parametros!$A$2:$A$9,0))</f>
        <v/>
      </c>
      <c r="I678" s="4">
        <f>1/(VALUE(MID(F678,1,1))/Parametros!$E$2+VALUE(MID(F678,2,1))/Parametros!$E$3+VALUE(MID(F678,3,1))/Parametros!$E$4+VALUE(MID(F678,4,1))/Parametros!$E$5)</f>
        <v/>
      </c>
      <c r="J678" s="5">
        <f>IF(G678=0,Parametros!$E$8,Parametros!$E$6+Parametros!$E$6*(Parametros!$E$7/G678+I678)/(Parametros!$E$6+Parametros!$E$7/G678+I678))</f>
        <v/>
      </c>
      <c r="K678" s="2" t="inlineStr">
        <is>
          <t>2026-09-24 16:25</t>
        </is>
      </c>
      <c r="L678" s="6" t="inlineStr">
        <is>
          <t>Válido</t>
        </is>
      </c>
      <c r="M678" s="2">
        <f>IF(L678="Válido","Sim","Não")</f>
        <v/>
      </c>
      <c r="N678" s="2" t="inlineStr"/>
    </row>
    <row r="679">
      <c r="A679" s="2" t="inlineStr">
        <is>
          <t>2Bracos_R0110_150W_2026-09-24_16_25.csv</t>
        </is>
      </c>
      <c r="B679" s="2" t="inlineStr">
        <is>
          <t>150W_3500RPM_R0110</t>
        </is>
      </c>
      <c r="C679" s="2" t="n">
        <v>150</v>
      </c>
      <c r="D679" s="2" t="n">
        <v>3500</v>
      </c>
      <c r="E679" s="3">
        <f>D679*2/60</f>
        <v/>
      </c>
      <c r="F679" s="2" t="inlineStr">
        <is>
          <t>0110</t>
        </is>
      </c>
      <c r="G679" s="2" t="n">
        <v>2</v>
      </c>
      <c r="H679" s="2">
        <f>INDEX(Parametros!$B$2:$B$9,MATCH(G679,Parametros!$A$2:$A$9,0))</f>
        <v/>
      </c>
      <c r="I679" s="4">
        <f>1/(VALUE(MID(F679,1,1))/Parametros!$E$2+VALUE(MID(F679,2,1))/Parametros!$E$3+VALUE(MID(F679,3,1))/Parametros!$E$4+VALUE(MID(F679,4,1))/Parametros!$E$5)</f>
        <v/>
      </c>
      <c r="J679" s="5">
        <f>IF(G679=0,Parametros!$E$8,Parametros!$E$6+Parametros!$E$6*(Parametros!$E$7/G679+I679)/(Parametros!$E$6+Parametros!$E$7/G679+I679))</f>
        <v/>
      </c>
      <c r="K679" s="2" t="inlineStr">
        <is>
          <t>2026-09-24 16:25</t>
        </is>
      </c>
      <c r="L679" s="6" t="inlineStr">
        <is>
          <t>Válido</t>
        </is>
      </c>
      <c r="M679" s="2">
        <f>IF(L679="Válido","Sim","Não")</f>
        <v/>
      </c>
      <c r="N679" s="2" t="inlineStr"/>
    </row>
    <row r="680">
      <c r="A680" s="2" t="inlineStr">
        <is>
          <t>1Bracos_R0110_150W_2026-09-24_16_25.csv</t>
        </is>
      </c>
      <c r="B680" s="2" t="inlineStr">
        <is>
          <t>150W_3500RPM_R0110</t>
        </is>
      </c>
      <c r="C680" s="2" t="n">
        <v>150</v>
      </c>
      <c r="D680" s="2" t="n">
        <v>3500</v>
      </c>
      <c r="E680" s="3">
        <f>D680*2/60</f>
        <v/>
      </c>
      <c r="F680" s="2" t="inlineStr">
        <is>
          <t>0110</t>
        </is>
      </c>
      <c r="G680" s="2" t="n">
        <v>1</v>
      </c>
      <c r="H680" s="2">
        <f>INDEX(Parametros!$B$2:$B$9,MATCH(G680,Parametros!$A$2:$A$9,0))</f>
        <v/>
      </c>
      <c r="I680" s="4">
        <f>1/(VALUE(MID(F680,1,1))/Parametros!$E$2+VALUE(MID(F680,2,1))/Parametros!$E$3+VALUE(MID(F680,3,1))/Parametros!$E$4+VALUE(MID(F680,4,1))/Parametros!$E$5)</f>
        <v/>
      </c>
      <c r="J680" s="5">
        <f>IF(G680=0,Parametros!$E$8,Parametros!$E$6+Parametros!$E$6*(Parametros!$E$7/G680+I680)/(Parametros!$E$6+Parametros!$E$7/G680+I680))</f>
        <v/>
      </c>
      <c r="K680" s="2" t="inlineStr">
        <is>
          <t>2026-09-24 16:25</t>
        </is>
      </c>
      <c r="L680" s="6" t="inlineStr">
        <is>
          <t>Válido</t>
        </is>
      </c>
      <c r="M680" s="2">
        <f>IF(L680="Válido","Sim","Não")</f>
        <v/>
      </c>
      <c r="N680" s="2" t="inlineStr"/>
    </row>
    <row r="681">
      <c r="A681" s="2" t="inlineStr">
        <is>
          <t>0Bracos_R0110_150W_2026-09-24_16_25.csv</t>
        </is>
      </c>
      <c r="B681" s="2" t="inlineStr">
        <is>
          <t>150W_3500RPM_R0110</t>
        </is>
      </c>
      <c r="C681" s="2" t="n">
        <v>150</v>
      </c>
      <c r="D681" s="2" t="n">
        <v>3500</v>
      </c>
      <c r="E681" s="3">
        <f>D681*2/60</f>
        <v/>
      </c>
      <c r="F681" s="2" t="inlineStr">
        <is>
          <t>0110</t>
        </is>
      </c>
      <c r="G681" s="2" t="n">
        <v>0</v>
      </c>
      <c r="H681" s="2">
        <f>INDEX(Parametros!$B$2:$B$9,MATCH(G681,Parametros!$A$2:$A$9,0))</f>
        <v/>
      </c>
      <c r="I681" s="4">
        <f>1/(VALUE(MID(F681,1,1))/Parametros!$E$2+VALUE(MID(F681,2,1))/Parametros!$E$3+VALUE(MID(F681,3,1))/Parametros!$E$4+VALUE(MID(F681,4,1))/Parametros!$E$5)</f>
        <v/>
      </c>
      <c r="J681" s="5">
        <f>IF(G681=0,Parametros!$E$8,Parametros!$E$6+Parametros!$E$6*(Parametros!$E$7/G681+I681)/(Parametros!$E$6+Parametros!$E$7/G681+I681))</f>
        <v/>
      </c>
      <c r="K681" s="2" t="inlineStr">
        <is>
          <t>2026-09-24 16:25</t>
        </is>
      </c>
      <c r="L681" s="6" t="inlineStr">
        <is>
          <t>Válido</t>
        </is>
      </c>
      <c r="M681" s="2">
        <f>IF(L681="Válido","Sim","Não")</f>
        <v/>
      </c>
      <c r="N681" s="2" t="inlineStr"/>
    </row>
    <row r="682">
      <c r="A682" s="2" t="inlineStr">
        <is>
          <t>7Bracos_R0111_150W_2026-09-24_16_25.csv</t>
        </is>
      </c>
      <c r="B682" s="2" t="inlineStr">
        <is>
          <t>150W_3500RPM_R0111</t>
        </is>
      </c>
      <c r="C682" s="2" t="n">
        <v>150</v>
      </c>
      <c r="D682" s="2" t="n">
        <v>3500</v>
      </c>
      <c r="E682" s="3">
        <f>D682*2/60</f>
        <v/>
      </c>
      <c r="F682" s="2" t="inlineStr">
        <is>
          <t>0111</t>
        </is>
      </c>
      <c r="G682" s="2" t="n">
        <v>7</v>
      </c>
      <c r="H682" s="2">
        <f>INDEX(Parametros!$B$2:$B$9,MATCH(G682,Parametros!$A$2:$A$9,0))</f>
        <v/>
      </c>
      <c r="I682" s="4">
        <f>1/(VALUE(MID(F682,1,1))/Parametros!$E$2+VALUE(MID(F682,2,1))/Parametros!$E$3+VALUE(MID(F682,3,1))/Parametros!$E$4+VALUE(MID(F682,4,1))/Parametros!$E$5)</f>
        <v/>
      </c>
      <c r="J682" s="5">
        <f>IF(G682=0,Parametros!$E$8,Parametros!$E$6+Parametros!$E$6*(Parametros!$E$7/G682+I682)/(Parametros!$E$6+Parametros!$E$7/G682+I682))</f>
        <v/>
      </c>
      <c r="K682" s="2" t="inlineStr">
        <is>
          <t>2026-09-24 16:25</t>
        </is>
      </c>
      <c r="L682" s="6" t="inlineStr">
        <is>
          <t>Válido</t>
        </is>
      </c>
      <c r="M682" s="2">
        <f>IF(L682="Válido","Sim","Não")</f>
        <v/>
      </c>
      <c r="N682" s="2" t="inlineStr"/>
    </row>
    <row r="683">
      <c r="A683" s="2" t="inlineStr">
        <is>
          <t>6Bracos_R0111_150W_2026-09-24_16_25.csv</t>
        </is>
      </c>
      <c r="B683" s="2" t="inlineStr">
        <is>
          <t>150W_3500RPM_R0111</t>
        </is>
      </c>
      <c r="C683" s="2" t="n">
        <v>150</v>
      </c>
      <c r="D683" s="2" t="n">
        <v>3500</v>
      </c>
      <c r="E683" s="3">
        <f>D683*2/60</f>
        <v/>
      </c>
      <c r="F683" s="2" t="inlineStr">
        <is>
          <t>0111</t>
        </is>
      </c>
      <c r="G683" s="2" t="n">
        <v>6</v>
      </c>
      <c r="H683" s="2">
        <f>INDEX(Parametros!$B$2:$B$9,MATCH(G683,Parametros!$A$2:$A$9,0))</f>
        <v/>
      </c>
      <c r="I683" s="4">
        <f>1/(VALUE(MID(F683,1,1))/Parametros!$E$2+VALUE(MID(F683,2,1))/Parametros!$E$3+VALUE(MID(F683,3,1))/Parametros!$E$4+VALUE(MID(F683,4,1))/Parametros!$E$5)</f>
        <v/>
      </c>
      <c r="J683" s="5">
        <f>IF(G683=0,Parametros!$E$8,Parametros!$E$6+Parametros!$E$6*(Parametros!$E$7/G683+I683)/(Parametros!$E$6+Parametros!$E$7/G683+I683))</f>
        <v/>
      </c>
      <c r="K683" s="2" t="inlineStr">
        <is>
          <t>2026-09-24 16:25</t>
        </is>
      </c>
      <c r="L683" s="6" t="inlineStr">
        <is>
          <t>Válido</t>
        </is>
      </c>
      <c r="M683" s="2">
        <f>IF(L683="Válido","Sim","Não")</f>
        <v/>
      </c>
      <c r="N683" s="2" t="inlineStr"/>
    </row>
    <row r="684">
      <c r="A684" s="2" t="inlineStr">
        <is>
          <t>5Bracos_R0111_150W_2026-09-24_16_25.csv</t>
        </is>
      </c>
      <c r="B684" s="2" t="inlineStr">
        <is>
          <t>150W_3500RPM_R0111</t>
        </is>
      </c>
      <c r="C684" s="2" t="n">
        <v>150</v>
      </c>
      <c r="D684" s="2" t="n">
        <v>3500</v>
      </c>
      <c r="E684" s="3">
        <f>D684*2/60</f>
        <v/>
      </c>
      <c r="F684" s="2" t="inlineStr">
        <is>
          <t>0111</t>
        </is>
      </c>
      <c r="G684" s="2" t="n">
        <v>5</v>
      </c>
      <c r="H684" s="2">
        <f>INDEX(Parametros!$B$2:$B$9,MATCH(G684,Parametros!$A$2:$A$9,0))</f>
        <v/>
      </c>
      <c r="I684" s="4">
        <f>1/(VALUE(MID(F684,1,1))/Parametros!$E$2+VALUE(MID(F684,2,1))/Parametros!$E$3+VALUE(MID(F684,3,1))/Parametros!$E$4+VALUE(MID(F684,4,1))/Parametros!$E$5)</f>
        <v/>
      </c>
      <c r="J684" s="5">
        <f>IF(G684=0,Parametros!$E$8,Parametros!$E$6+Parametros!$E$6*(Parametros!$E$7/G684+I684)/(Parametros!$E$6+Parametros!$E$7/G684+I684))</f>
        <v/>
      </c>
      <c r="K684" s="2" t="inlineStr">
        <is>
          <t>2026-09-24 16:25</t>
        </is>
      </c>
      <c r="L684" s="6" t="inlineStr">
        <is>
          <t>Válido</t>
        </is>
      </c>
      <c r="M684" s="2">
        <f>IF(L684="Válido","Sim","Não")</f>
        <v/>
      </c>
      <c r="N684" s="2" t="inlineStr"/>
    </row>
    <row r="685">
      <c r="A685" s="2" t="inlineStr">
        <is>
          <t>4Bracos_R0111_150W_2026-09-24_16_25.csv</t>
        </is>
      </c>
      <c r="B685" s="2" t="inlineStr">
        <is>
          <t>150W_3500RPM_R0111</t>
        </is>
      </c>
      <c r="C685" s="2" t="n">
        <v>150</v>
      </c>
      <c r="D685" s="2" t="n">
        <v>3500</v>
      </c>
      <c r="E685" s="3">
        <f>D685*2/60</f>
        <v/>
      </c>
      <c r="F685" s="2" t="inlineStr">
        <is>
          <t>0111</t>
        </is>
      </c>
      <c r="G685" s="2" t="n">
        <v>4</v>
      </c>
      <c r="H685" s="2">
        <f>INDEX(Parametros!$B$2:$B$9,MATCH(G685,Parametros!$A$2:$A$9,0))</f>
        <v/>
      </c>
      <c r="I685" s="4">
        <f>1/(VALUE(MID(F685,1,1))/Parametros!$E$2+VALUE(MID(F685,2,1))/Parametros!$E$3+VALUE(MID(F685,3,1))/Parametros!$E$4+VALUE(MID(F685,4,1))/Parametros!$E$5)</f>
        <v/>
      </c>
      <c r="J685" s="5">
        <f>IF(G685=0,Parametros!$E$8,Parametros!$E$6+Parametros!$E$6*(Parametros!$E$7/G685+I685)/(Parametros!$E$6+Parametros!$E$7/G685+I685))</f>
        <v/>
      </c>
      <c r="K685" s="2" t="inlineStr">
        <is>
          <t>2026-09-24 16:25</t>
        </is>
      </c>
      <c r="L685" s="6" t="inlineStr">
        <is>
          <t>Válido</t>
        </is>
      </c>
      <c r="M685" s="2">
        <f>IF(L685="Válido","Sim","Não")</f>
        <v/>
      </c>
      <c r="N685" s="2" t="inlineStr"/>
    </row>
    <row r="686">
      <c r="A686" s="2" t="inlineStr">
        <is>
          <t>3Bracos_R0111_150W_2026-09-24_16_25.csv</t>
        </is>
      </c>
      <c r="B686" s="2" t="inlineStr">
        <is>
          <t>150W_3500RPM_R0111</t>
        </is>
      </c>
      <c r="C686" s="2" t="n">
        <v>150</v>
      </c>
      <c r="D686" s="2" t="n">
        <v>3500</v>
      </c>
      <c r="E686" s="3">
        <f>D686*2/60</f>
        <v/>
      </c>
      <c r="F686" s="2" t="inlineStr">
        <is>
          <t>0111</t>
        </is>
      </c>
      <c r="G686" s="2" t="n">
        <v>3</v>
      </c>
      <c r="H686" s="2">
        <f>INDEX(Parametros!$B$2:$B$9,MATCH(G686,Parametros!$A$2:$A$9,0))</f>
        <v/>
      </c>
      <c r="I686" s="4">
        <f>1/(VALUE(MID(F686,1,1))/Parametros!$E$2+VALUE(MID(F686,2,1))/Parametros!$E$3+VALUE(MID(F686,3,1))/Parametros!$E$4+VALUE(MID(F686,4,1))/Parametros!$E$5)</f>
        <v/>
      </c>
      <c r="J686" s="5">
        <f>IF(G686=0,Parametros!$E$8,Parametros!$E$6+Parametros!$E$6*(Parametros!$E$7/G686+I686)/(Parametros!$E$6+Parametros!$E$7/G686+I686))</f>
        <v/>
      </c>
      <c r="K686" s="2" t="inlineStr">
        <is>
          <t>2026-09-24 16:25</t>
        </is>
      </c>
      <c r="L686" s="6" t="inlineStr">
        <is>
          <t>Válido</t>
        </is>
      </c>
      <c r="M686" s="2">
        <f>IF(L686="Válido","Sim","Não")</f>
        <v/>
      </c>
      <c r="N686" s="2" t="inlineStr"/>
    </row>
    <row r="687">
      <c r="A687" s="2" t="inlineStr">
        <is>
          <t>2Bracos_R0111_150W_2026-09-24_16_25.csv</t>
        </is>
      </c>
      <c r="B687" s="2" t="inlineStr">
        <is>
          <t>150W_3500RPM_R0111</t>
        </is>
      </c>
      <c r="C687" s="2" t="n">
        <v>150</v>
      </c>
      <c r="D687" s="2" t="n">
        <v>3500</v>
      </c>
      <c r="E687" s="3">
        <f>D687*2/60</f>
        <v/>
      </c>
      <c r="F687" s="2" t="inlineStr">
        <is>
          <t>0111</t>
        </is>
      </c>
      <c r="G687" s="2" t="n">
        <v>2</v>
      </c>
      <c r="H687" s="2">
        <f>INDEX(Parametros!$B$2:$B$9,MATCH(G687,Parametros!$A$2:$A$9,0))</f>
        <v/>
      </c>
      <c r="I687" s="4">
        <f>1/(VALUE(MID(F687,1,1))/Parametros!$E$2+VALUE(MID(F687,2,1))/Parametros!$E$3+VALUE(MID(F687,3,1))/Parametros!$E$4+VALUE(MID(F687,4,1))/Parametros!$E$5)</f>
        <v/>
      </c>
      <c r="J687" s="5">
        <f>IF(G687=0,Parametros!$E$8,Parametros!$E$6+Parametros!$E$6*(Parametros!$E$7/G687+I687)/(Parametros!$E$6+Parametros!$E$7/G687+I687))</f>
        <v/>
      </c>
      <c r="K687" s="2" t="inlineStr">
        <is>
          <t>2026-09-24 16:25</t>
        </is>
      </c>
      <c r="L687" s="6" t="inlineStr">
        <is>
          <t>Válido</t>
        </is>
      </c>
      <c r="M687" s="2">
        <f>IF(L687="Válido","Sim","Não")</f>
        <v/>
      </c>
      <c r="N687" s="2" t="inlineStr"/>
    </row>
    <row r="688">
      <c r="A688" s="2" t="inlineStr">
        <is>
          <t>1Bracos_R0111_150W_2026-09-24_16_25.csv</t>
        </is>
      </c>
      <c r="B688" s="2" t="inlineStr">
        <is>
          <t>150W_3500RPM_R0111</t>
        </is>
      </c>
      <c r="C688" s="2" t="n">
        <v>150</v>
      </c>
      <c r="D688" s="2" t="n">
        <v>3500</v>
      </c>
      <c r="E688" s="3">
        <f>D688*2/60</f>
        <v/>
      </c>
      <c r="F688" s="2" t="inlineStr">
        <is>
          <t>0111</t>
        </is>
      </c>
      <c r="G688" s="2" t="n">
        <v>1</v>
      </c>
      <c r="H688" s="2">
        <f>INDEX(Parametros!$B$2:$B$9,MATCH(G688,Parametros!$A$2:$A$9,0))</f>
        <v/>
      </c>
      <c r="I688" s="4">
        <f>1/(VALUE(MID(F688,1,1))/Parametros!$E$2+VALUE(MID(F688,2,1))/Parametros!$E$3+VALUE(MID(F688,3,1))/Parametros!$E$4+VALUE(MID(F688,4,1))/Parametros!$E$5)</f>
        <v/>
      </c>
      <c r="J688" s="5">
        <f>IF(G688=0,Parametros!$E$8,Parametros!$E$6+Parametros!$E$6*(Parametros!$E$7/G688+I688)/(Parametros!$E$6+Parametros!$E$7/G688+I688))</f>
        <v/>
      </c>
      <c r="K688" s="2" t="inlineStr">
        <is>
          <t>2026-09-24 16:25</t>
        </is>
      </c>
      <c r="L688" s="6" t="inlineStr">
        <is>
          <t>Válido</t>
        </is>
      </c>
      <c r="M688" s="2">
        <f>IF(L688="Válido","Sim","Não")</f>
        <v/>
      </c>
      <c r="N688" s="2" t="inlineStr"/>
    </row>
    <row r="689">
      <c r="A689" s="2" t="inlineStr">
        <is>
          <t>0Bracos_R0111_150W_2026-09-24_16_25.csv</t>
        </is>
      </c>
      <c r="B689" s="2" t="inlineStr">
        <is>
          <t>150W_3500RPM_R0111</t>
        </is>
      </c>
      <c r="C689" s="2" t="n">
        <v>150</v>
      </c>
      <c r="D689" s="2" t="n">
        <v>3500</v>
      </c>
      <c r="E689" s="3">
        <f>D689*2/60</f>
        <v/>
      </c>
      <c r="F689" s="2" t="inlineStr">
        <is>
          <t>0111</t>
        </is>
      </c>
      <c r="G689" s="2" t="n">
        <v>0</v>
      </c>
      <c r="H689" s="2">
        <f>INDEX(Parametros!$B$2:$B$9,MATCH(G689,Parametros!$A$2:$A$9,0))</f>
        <v/>
      </c>
      <c r="I689" s="4">
        <f>1/(VALUE(MID(F689,1,1))/Parametros!$E$2+VALUE(MID(F689,2,1))/Parametros!$E$3+VALUE(MID(F689,3,1))/Parametros!$E$4+VALUE(MID(F689,4,1))/Parametros!$E$5)</f>
        <v/>
      </c>
      <c r="J689" s="5">
        <f>IF(G689=0,Parametros!$E$8,Parametros!$E$6+Parametros!$E$6*(Parametros!$E$7/G689+I689)/(Parametros!$E$6+Parametros!$E$7/G689+I689))</f>
        <v/>
      </c>
      <c r="K689" s="2" t="inlineStr">
        <is>
          <t>2026-09-24 16:25</t>
        </is>
      </c>
      <c r="L689" s="6" t="inlineStr">
        <is>
          <t>Válido</t>
        </is>
      </c>
      <c r="M689" s="2">
        <f>IF(L689="Válido","Sim","Não")</f>
        <v/>
      </c>
      <c r="N689" s="2" t="inlineStr"/>
    </row>
    <row r="690">
      <c r="A690" s="2" t="inlineStr">
        <is>
          <t>7Bracos_R1000_150W_2026-09-24_16_25.csv</t>
        </is>
      </c>
      <c r="B690" s="2" t="inlineStr">
        <is>
          <t>150W_3500RPM_R1000</t>
        </is>
      </c>
      <c r="C690" s="2" t="n">
        <v>150</v>
      </c>
      <c r="D690" s="2" t="n">
        <v>3500</v>
      </c>
      <c r="E690" s="3">
        <f>D690*2/60</f>
        <v/>
      </c>
      <c r="F690" s="2" t="inlineStr">
        <is>
          <t>1000</t>
        </is>
      </c>
      <c r="G690" s="2" t="n">
        <v>7</v>
      </c>
      <c r="H690" s="2">
        <f>INDEX(Parametros!$B$2:$B$9,MATCH(G690,Parametros!$A$2:$A$9,0))</f>
        <v/>
      </c>
      <c r="I690" s="4">
        <f>1/(VALUE(MID(F690,1,1))/Parametros!$E$2+VALUE(MID(F690,2,1))/Parametros!$E$3+VALUE(MID(F690,3,1))/Parametros!$E$4+VALUE(MID(F690,4,1))/Parametros!$E$5)</f>
        <v/>
      </c>
      <c r="J690" s="5">
        <f>IF(G690=0,Parametros!$E$8,Parametros!$E$6+Parametros!$E$6*(Parametros!$E$7/G690+I690)/(Parametros!$E$6+Parametros!$E$7/G690+I690))</f>
        <v/>
      </c>
      <c r="K690" s="2" t="inlineStr">
        <is>
          <t>2026-09-24 16:25</t>
        </is>
      </c>
      <c r="L690" s="6" t="inlineStr">
        <is>
          <t>Válido</t>
        </is>
      </c>
      <c r="M690" s="2">
        <f>IF(L690="Válido","Sim","Não")</f>
        <v/>
      </c>
      <c r="N690" s="2" t="inlineStr"/>
    </row>
    <row r="691">
      <c r="A691" s="2" t="inlineStr">
        <is>
          <t>6Bracos_R1000_150W_2026-09-24_16_25.csv</t>
        </is>
      </c>
      <c r="B691" s="2" t="inlineStr">
        <is>
          <t>150W_3500RPM_R1000</t>
        </is>
      </c>
      <c r="C691" s="2" t="n">
        <v>150</v>
      </c>
      <c r="D691" s="2" t="n">
        <v>3500</v>
      </c>
      <c r="E691" s="3">
        <f>D691*2/60</f>
        <v/>
      </c>
      <c r="F691" s="2" t="inlineStr">
        <is>
          <t>1000</t>
        </is>
      </c>
      <c r="G691" s="2" t="n">
        <v>6</v>
      </c>
      <c r="H691" s="2">
        <f>INDEX(Parametros!$B$2:$B$9,MATCH(G691,Parametros!$A$2:$A$9,0))</f>
        <v/>
      </c>
      <c r="I691" s="4">
        <f>1/(VALUE(MID(F691,1,1))/Parametros!$E$2+VALUE(MID(F691,2,1))/Parametros!$E$3+VALUE(MID(F691,3,1))/Parametros!$E$4+VALUE(MID(F691,4,1))/Parametros!$E$5)</f>
        <v/>
      </c>
      <c r="J691" s="5">
        <f>IF(G691=0,Parametros!$E$8,Parametros!$E$6+Parametros!$E$6*(Parametros!$E$7/G691+I691)/(Parametros!$E$6+Parametros!$E$7/G691+I691))</f>
        <v/>
      </c>
      <c r="K691" s="2" t="inlineStr">
        <is>
          <t>2026-09-24 16:25</t>
        </is>
      </c>
      <c r="L691" s="6" t="inlineStr">
        <is>
          <t>Válido</t>
        </is>
      </c>
      <c r="M691" s="2">
        <f>IF(L691="Válido","Sim","Não")</f>
        <v/>
      </c>
      <c r="N691" s="2" t="inlineStr"/>
    </row>
    <row r="692">
      <c r="A692" s="2" t="inlineStr">
        <is>
          <t>5Bracos_R1000_150W_2026-09-24_16_25.csv</t>
        </is>
      </c>
      <c r="B692" s="2" t="inlineStr">
        <is>
          <t>150W_3500RPM_R1000</t>
        </is>
      </c>
      <c r="C692" s="2" t="n">
        <v>150</v>
      </c>
      <c r="D692" s="2" t="n">
        <v>3500</v>
      </c>
      <c r="E692" s="3">
        <f>D692*2/60</f>
        <v/>
      </c>
      <c r="F692" s="2" t="inlineStr">
        <is>
          <t>1000</t>
        </is>
      </c>
      <c r="G692" s="2" t="n">
        <v>5</v>
      </c>
      <c r="H692" s="2">
        <f>INDEX(Parametros!$B$2:$B$9,MATCH(G692,Parametros!$A$2:$A$9,0))</f>
        <v/>
      </c>
      <c r="I692" s="4">
        <f>1/(VALUE(MID(F692,1,1))/Parametros!$E$2+VALUE(MID(F692,2,1))/Parametros!$E$3+VALUE(MID(F692,3,1))/Parametros!$E$4+VALUE(MID(F692,4,1))/Parametros!$E$5)</f>
        <v/>
      </c>
      <c r="J692" s="5">
        <f>IF(G692=0,Parametros!$E$8,Parametros!$E$6+Parametros!$E$6*(Parametros!$E$7/G692+I692)/(Parametros!$E$6+Parametros!$E$7/G692+I692))</f>
        <v/>
      </c>
      <c r="K692" s="2" t="inlineStr">
        <is>
          <t>2026-09-24 16:25</t>
        </is>
      </c>
      <c r="L692" s="6" t="inlineStr">
        <is>
          <t>Válido</t>
        </is>
      </c>
      <c r="M692" s="2">
        <f>IF(L692="Válido","Sim","Não")</f>
        <v/>
      </c>
      <c r="N692" s="2" t="inlineStr"/>
    </row>
    <row r="693">
      <c r="A693" s="2" t="inlineStr">
        <is>
          <t>4Bracos_R1000_150W_2026-09-24_16_25.csv</t>
        </is>
      </c>
      <c r="B693" s="2" t="inlineStr">
        <is>
          <t>150W_3500RPM_R1000</t>
        </is>
      </c>
      <c r="C693" s="2" t="n">
        <v>150</v>
      </c>
      <c r="D693" s="2" t="n">
        <v>3500</v>
      </c>
      <c r="E693" s="3">
        <f>D693*2/60</f>
        <v/>
      </c>
      <c r="F693" s="2" t="inlineStr">
        <is>
          <t>1000</t>
        </is>
      </c>
      <c r="G693" s="2" t="n">
        <v>4</v>
      </c>
      <c r="H693" s="2">
        <f>INDEX(Parametros!$B$2:$B$9,MATCH(G693,Parametros!$A$2:$A$9,0))</f>
        <v/>
      </c>
      <c r="I693" s="4">
        <f>1/(VALUE(MID(F693,1,1))/Parametros!$E$2+VALUE(MID(F693,2,1))/Parametros!$E$3+VALUE(MID(F693,3,1))/Parametros!$E$4+VALUE(MID(F693,4,1))/Parametros!$E$5)</f>
        <v/>
      </c>
      <c r="J693" s="5">
        <f>IF(G693=0,Parametros!$E$8,Parametros!$E$6+Parametros!$E$6*(Parametros!$E$7/G693+I693)/(Parametros!$E$6+Parametros!$E$7/G693+I693))</f>
        <v/>
      </c>
      <c r="K693" s="2" t="inlineStr">
        <is>
          <t>2026-09-24 16:25</t>
        </is>
      </c>
      <c r="L693" s="6" t="inlineStr">
        <is>
          <t>Válido</t>
        </is>
      </c>
      <c r="M693" s="2">
        <f>IF(L693="Válido","Sim","Não")</f>
        <v/>
      </c>
      <c r="N693" s="2" t="inlineStr"/>
    </row>
    <row r="694">
      <c r="A694" s="2" t="inlineStr">
        <is>
          <t>3Bracos_R1000_150W_2026-09-24_16_25.csv</t>
        </is>
      </c>
      <c r="B694" s="2" t="inlineStr">
        <is>
          <t>150W_3500RPM_R1000</t>
        </is>
      </c>
      <c r="C694" s="2" t="n">
        <v>150</v>
      </c>
      <c r="D694" s="2" t="n">
        <v>3500</v>
      </c>
      <c r="E694" s="3">
        <f>D694*2/60</f>
        <v/>
      </c>
      <c r="F694" s="2" t="inlineStr">
        <is>
          <t>1000</t>
        </is>
      </c>
      <c r="G694" s="2" t="n">
        <v>3</v>
      </c>
      <c r="H694" s="2">
        <f>INDEX(Parametros!$B$2:$B$9,MATCH(G694,Parametros!$A$2:$A$9,0))</f>
        <v/>
      </c>
      <c r="I694" s="4">
        <f>1/(VALUE(MID(F694,1,1))/Parametros!$E$2+VALUE(MID(F694,2,1))/Parametros!$E$3+VALUE(MID(F694,3,1))/Parametros!$E$4+VALUE(MID(F694,4,1))/Parametros!$E$5)</f>
        <v/>
      </c>
      <c r="J694" s="5">
        <f>IF(G694=0,Parametros!$E$8,Parametros!$E$6+Parametros!$E$6*(Parametros!$E$7/G694+I694)/(Parametros!$E$6+Parametros!$E$7/G694+I694))</f>
        <v/>
      </c>
      <c r="K694" s="2" t="inlineStr">
        <is>
          <t>2026-09-24 16:25</t>
        </is>
      </c>
      <c r="L694" s="6" t="inlineStr">
        <is>
          <t>Válido</t>
        </is>
      </c>
      <c r="M694" s="2">
        <f>IF(L694="Válido","Sim","Não")</f>
        <v/>
      </c>
      <c r="N694" s="2" t="inlineStr"/>
    </row>
    <row r="695">
      <c r="A695" s="2" t="inlineStr">
        <is>
          <t>2Bracos_R1000_150W_2026-09-24_16_25.csv</t>
        </is>
      </c>
      <c r="B695" s="2" t="inlineStr">
        <is>
          <t>150W_3500RPM_R1000</t>
        </is>
      </c>
      <c r="C695" s="2" t="n">
        <v>150</v>
      </c>
      <c r="D695" s="2" t="n">
        <v>3500</v>
      </c>
      <c r="E695" s="3">
        <f>D695*2/60</f>
        <v/>
      </c>
      <c r="F695" s="2" t="inlineStr">
        <is>
          <t>1000</t>
        </is>
      </c>
      <c r="G695" s="2" t="n">
        <v>2</v>
      </c>
      <c r="H695" s="2">
        <f>INDEX(Parametros!$B$2:$B$9,MATCH(G695,Parametros!$A$2:$A$9,0))</f>
        <v/>
      </c>
      <c r="I695" s="4">
        <f>1/(VALUE(MID(F695,1,1))/Parametros!$E$2+VALUE(MID(F695,2,1))/Parametros!$E$3+VALUE(MID(F695,3,1))/Parametros!$E$4+VALUE(MID(F695,4,1))/Parametros!$E$5)</f>
        <v/>
      </c>
      <c r="J695" s="5">
        <f>IF(G695=0,Parametros!$E$8,Parametros!$E$6+Parametros!$E$6*(Parametros!$E$7/G695+I695)/(Parametros!$E$6+Parametros!$E$7/G695+I695))</f>
        <v/>
      </c>
      <c r="K695" s="2" t="inlineStr">
        <is>
          <t>2026-09-24 16:25</t>
        </is>
      </c>
      <c r="L695" s="6" t="inlineStr">
        <is>
          <t>Válido</t>
        </is>
      </c>
      <c r="M695" s="2">
        <f>IF(L695="Válido","Sim","Não")</f>
        <v/>
      </c>
      <c r="N695" s="2" t="inlineStr"/>
    </row>
    <row r="696">
      <c r="A696" s="2" t="inlineStr">
        <is>
          <t>1Bracos_R1000_150W_2026-09-24_16_25.csv</t>
        </is>
      </c>
      <c r="B696" s="2" t="inlineStr">
        <is>
          <t>150W_3500RPM_R1000</t>
        </is>
      </c>
      <c r="C696" s="2" t="n">
        <v>150</v>
      </c>
      <c r="D696" s="2" t="n">
        <v>3500</v>
      </c>
      <c r="E696" s="3">
        <f>D696*2/60</f>
        <v/>
      </c>
      <c r="F696" s="2" t="inlineStr">
        <is>
          <t>1000</t>
        </is>
      </c>
      <c r="G696" s="2" t="n">
        <v>1</v>
      </c>
      <c r="H696" s="2">
        <f>INDEX(Parametros!$B$2:$B$9,MATCH(G696,Parametros!$A$2:$A$9,0))</f>
        <v/>
      </c>
      <c r="I696" s="4">
        <f>1/(VALUE(MID(F696,1,1))/Parametros!$E$2+VALUE(MID(F696,2,1))/Parametros!$E$3+VALUE(MID(F696,3,1))/Parametros!$E$4+VALUE(MID(F696,4,1))/Parametros!$E$5)</f>
        <v/>
      </c>
      <c r="J696" s="5">
        <f>IF(G696=0,Parametros!$E$8,Parametros!$E$6+Parametros!$E$6*(Parametros!$E$7/G696+I696)/(Parametros!$E$6+Parametros!$E$7/G696+I696))</f>
        <v/>
      </c>
      <c r="K696" s="2" t="inlineStr">
        <is>
          <t>2026-09-24 16:25</t>
        </is>
      </c>
      <c r="L696" s="6" t="inlineStr">
        <is>
          <t>Válido</t>
        </is>
      </c>
      <c r="M696" s="2">
        <f>IF(L696="Válido","Sim","Não")</f>
        <v/>
      </c>
      <c r="N696" s="2" t="inlineStr"/>
    </row>
    <row r="697">
      <c r="A697" s="2" t="inlineStr">
        <is>
          <t>0Bracos_R1000_150W_2026-09-24_16_25.csv</t>
        </is>
      </c>
      <c r="B697" s="2" t="inlineStr">
        <is>
          <t>150W_3500RPM_R1000</t>
        </is>
      </c>
      <c r="C697" s="2" t="n">
        <v>150</v>
      </c>
      <c r="D697" s="2" t="n">
        <v>3500</v>
      </c>
      <c r="E697" s="3">
        <f>D697*2/60</f>
        <v/>
      </c>
      <c r="F697" s="2" t="inlineStr">
        <is>
          <t>1000</t>
        </is>
      </c>
      <c r="G697" s="2" t="n">
        <v>0</v>
      </c>
      <c r="H697" s="2">
        <f>INDEX(Parametros!$B$2:$B$9,MATCH(G697,Parametros!$A$2:$A$9,0))</f>
        <v/>
      </c>
      <c r="I697" s="4">
        <f>1/(VALUE(MID(F697,1,1))/Parametros!$E$2+VALUE(MID(F697,2,1))/Parametros!$E$3+VALUE(MID(F697,3,1))/Parametros!$E$4+VALUE(MID(F697,4,1))/Parametros!$E$5)</f>
        <v/>
      </c>
      <c r="J697" s="5">
        <f>IF(G697=0,Parametros!$E$8,Parametros!$E$6+Parametros!$E$6*(Parametros!$E$7/G697+I697)/(Parametros!$E$6+Parametros!$E$7/G697+I697))</f>
        <v/>
      </c>
      <c r="K697" s="2" t="inlineStr">
        <is>
          <t>2026-09-24 16:25</t>
        </is>
      </c>
      <c r="L697" s="6" t="inlineStr">
        <is>
          <t>Válido</t>
        </is>
      </c>
      <c r="M697" s="2">
        <f>IF(L697="Válido","Sim","Não")</f>
        <v/>
      </c>
      <c r="N697" s="2" t="inlineStr"/>
    </row>
    <row r="698">
      <c r="A698" s="2" t="inlineStr">
        <is>
          <t>7Bracos_R1001_150W_2026-09-24_16_25.csv</t>
        </is>
      </c>
      <c r="B698" s="2" t="inlineStr">
        <is>
          <t>150W_3500RPM_R1001</t>
        </is>
      </c>
      <c r="C698" s="2" t="n">
        <v>150</v>
      </c>
      <c r="D698" s="2" t="n">
        <v>3500</v>
      </c>
      <c r="E698" s="3">
        <f>D698*2/60</f>
        <v/>
      </c>
      <c r="F698" s="2" t="inlineStr">
        <is>
          <t>1001</t>
        </is>
      </c>
      <c r="G698" s="2" t="n">
        <v>7</v>
      </c>
      <c r="H698" s="2">
        <f>INDEX(Parametros!$B$2:$B$9,MATCH(G698,Parametros!$A$2:$A$9,0))</f>
        <v/>
      </c>
      <c r="I698" s="4">
        <f>1/(VALUE(MID(F698,1,1))/Parametros!$E$2+VALUE(MID(F698,2,1))/Parametros!$E$3+VALUE(MID(F698,3,1))/Parametros!$E$4+VALUE(MID(F698,4,1))/Parametros!$E$5)</f>
        <v/>
      </c>
      <c r="J698" s="5">
        <f>IF(G698=0,Parametros!$E$8,Parametros!$E$6+Parametros!$E$6*(Parametros!$E$7/G698+I698)/(Parametros!$E$6+Parametros!$E$7/G698+I698))</f>
        <v/>
      </c>
      <c r="K698" s="2" t="inlineStr">
        <is>
          <t>2026-09-24 16:25</t>
        </is>
      </c>
      <c r="L698" s="6" t="inlineStr">
        <is>
          <t>Válido</t>
        </is>
      </c>
      <c r="M698" s="2">
        <f>IF(L698="Válido","Sim","Não")</f>
        <v/>
      </c>
      <c r="N698" s="2" t="inlineStr"/>
    </row>
    <row r="699">
      <c r="A699" s="2" t="inlineStr">
        <is>
          <t>6Bracos_R1001_150W_2026-09-24_16_25.csv</t>
        </is>
      </c>
      <c r="B699" s="2" t="inlineStr">
        <is>
          <t>150W_3500RPM_R1001</t>
        </is>
      </c>
      <c r="C699" s="2" t="n">
        <v>150</v>
      </c>
      <c r="D699" s="2" t="n">
        <v>3500</v>
      </c>
      <c r="E699" s="3">
        <f>D699*2/60</f>
        <v/>
      </c>
      <c r="F699" s="2" t="inlineStr">
        <is>
          <t>1001</t>
        </is>
      </c>
      <c r="G699" s="2" t="n">
        <v>6</v>
      </c>
      <c r="H699" s="2">
        <f>INDEX(Parametros!$B$2:$B$9,MATCH(G699,Parametros!$A$2:$A$9,0))</f>
        <v/>
      </c>
      <c r="I699" s="4">
        <f>1/(VALUE(MID(F699,1,1))/Parametros!$E$2+VALUE(MID(F699,2,1))/Parametros!$E$3+VALUE(MID(F699,3,1))/Parametros!$E$4+VALUE(MID(F699,4,1))/Parametros!$E$5)</f>
        <v/>
      </c>
      <c r="J699" s="5">
        <f>IF(G699=0,Parametros!$E$8,Parametros!$E$6+Parametros!$E$6*(Parametros!$E$7/G699+I699)/(Parametros!$E$6+Parametros!$E$7/G699+I699))</f>
        <v/>
      </c>
      <c r="K699" s="2" t="inlineStr">
        <is>
          <t>2026-09-24 16:25</t>
        </is>
      </c>
      <c r="L699" s="6" t="inlineStr">
        <is>
          <t>Válido</t>
        </is>
      </c>
      <c r="M699" s="2">
        <f>IF(L699="Válido","Sim","Não")</f>
        <v/>
      </c>
      <c r="N699" s="2" t="inlineStr"/>
    </row>
    <row r="700">
      <c r="A700" s="2" t="inlineStr">
        <is>
          <t>5Bracos_R1001_150W_2026-09-24_16_25.csv</t>
        </is>
      </c>
      <c r="B700" s="2" t="inlineStr">
        <is>
          <t>150W_3500RPM_R1001</t>
        </is>
      </c>
      <c r="C700" s="2" t="n">
        <v>150</v>
      </c>
      <c r="D700" s="2" t="n">
        <v>3500</v>
      </c>
      <c r="E700" s="3">
        <f>D700*2/60</f>
        <v/>
      </c>
      <c r="F700" s="2" t="inlineStr">
        <is>
          <t>1001</t>
        </is>
      </c>
      <c r="G700" s="2" t="n">
        <v>5</v>
      </c>
      <c r="H700" s="2">
        <f>INDEX(Parametros!$B$2:$B$9,MATCH(G700,Parametros!$A$2:$A$9,0))</f>
        <v/>
      </c>
      <c r="I700" s="4">
        <f>1/(VALUE(MID(F700,1,1))/Parametros!$E$2+VALUE(MID(F700,2,1))/Parametros!$E$3+VALUE(MID(F700,3,1))/Parametros!$E$4+VALUE(MID(F700,4,1))/Parametros!$E$5)</f>
        <v/>
      </c>
      <c r="J700" s="5">
        <f>IF(G700=0,Parametros!$E$8,Parametros!$E$6+Parametros!$E$6*(Parametros!$E$7/G700+I700)/(Parametros!$E$6+Parametros!$E$7/G700+I700))</f>
        <v/>
      </c>
      <c r="K700" s="2" t="inlineStr">
        <is>
          <t>2026-09-24 16:25</t>
        </is>
      </c>
      <c r="L700" s="6" t="inlineStr">
        <is>
          <t>Válido</t>
        </is>
      </c>
      <c r="M700" s="2">
        <f>IF(L700="Válido","Sim","Não")</f>
        <v/>
      </c>
      <c r="N700" s="2" t="inlineStr"/>
    </row>
    <row r="701">
      <c r="A701" s="2" t="inlineStr">
        <is>
          <t>4Bracos_R1001_150W_2026-09-24_16_25.csv</t>
        </is>
      </c>
      <c r="B701" s="2" t="inlineStr">
        <is>
          <t>150W_3500RPM_R1001</t>
        </is>
      </c>
      <c r="C701" s="2" t="n">
        <v>150</v>
      </c>
      <c r="D701" s="2" t="n">
        <v>3500</v>
      </c>
      <c r="E701" s="3">
        <f>D701*2/60</f>
        <v/>
      </c>
      <c r="F701" s="2" t="inlineStr">
        <is>
          <t>1001</t>
        </is>
      </c>
      <c r="G701" s="2" t="n">
        <v>4</v>
      </c>
      <c r="H701" s="2">
        <f>INDEX(Parametros!$B$2:$B$9,MATCH(G701,Parametros!$A$2:$A$9,0))</f>
        <v/>
      </c>
      <c r="I701" s="4">
        <f>1/(VALUE(MID(F701,1,1))/Parametros!$E$2+VALUE(MID(F701,2,1))/Parametros!$E$3+VALUE(MID(F701,3,1))/Parametros!$E$4+VALUE(MID(F701,4,1))/Parametros!$E$5)</f>
        <v/>
      </c>
      <c r="J701" s="5">
        <f>IF(G701=0,Parametros!$E$8,Parametros!$E$6+Parametros!$E$6*(Parametros!$E$7/G701+I701)/(Parametros!$E$6+Parametros!$E$7/G701+I701))</f>
        <v/>
      </c>
      <c r="K701" s="2" t="inlineStr">
        <is>
          <t>2026-09-24 16:25</t>
        </is>
      </c>
      <c r="L701" s="6" t="inlineStr">
        <is>
          <t>Válido</t>
        </is>
      </c>
      <c r="M701" s="2">
        <f>IF(L701="Válido","Sim","Não")</f>
        <v/>
      </c>
      <c r="N701" s="2" t="inlineStr"/>
    </row>
    <row r="702">
      <c r="A702" s="2" t="inlineStr">
        <is>
          <t>3Bracos_R1001_150W_2026-09-24_16_25.csv</t>
        </is>
      </c>
      <c r="B702" s="2" t="inlineStr">
        <is>
          <t>150W_3500RPM_R1001</t>
        </is>
      </c>
      <c r="C702" s="2" t="n">
        <v>150</v>
      </c>
      <c r="D702" s="2" t="n">
        <v>3500</v>
      </c>
      <c r="E702" s="3">
        <f>D702*2/60</f>
        <v/>
      </c>
      <c r="F702" s="2" t="inlineStr">
        <is>
          <t>1001</t>
        </is>
      </c>
      <c r="G702" s="2" t="n">
        <v>3</v>
      </c>
      <c r="H702" s="2">
        <f>INDEX(Parametros!$B$2:$B$9,MATCH(G702,Parametros!$A$2:$A$9,0))</f>
        <v/>
      </c>
      <c r="I702" s="4">
        <f>1/(VALUE(MID(F702,1,1))/Parametros!$E$2+VALUE(MID(F702,2,1))/Parametros!$E$3+VALUE(MID(F702,3,1))/Parametros!$E$4+VALUE(MID(F702,4,1))/Parametros!$E$5)</f>
        <v/>
      </c>
      <c r="J702" s="5">
        <f>IF(G702=0,Parametros!$E$8,Parametros!$E$6+Parametros!$E$6*(Parametros!$E$7/G702+I702)/(Parametros!$E$6+Parametros!$E$7/G702+I702))</f>
        <v/>
      </c>
      <c r="K702" s="2" t="inlineStr">
        <is>
          <t>2026-09-24 16:25</t>
        </is>
      </c>
      <c r="L702" s="6" t="inlineStr">
        <is>
          <t>Válido</t>
        </is>
      </c>
      <c r="M702" s="2">
        <f>IF(L702="Válido","Sim","Não")</f>
        <v/>
      </c>
      <c r="N702" s="2" t="inlineStr"/>
    </row>
    <row r="703">
      <c r="A703" s="2" t="inlineStr">
        <is>
          <t>2Bracos_R1001_150W_2026-09-24_16_25.csv</t>
        </is>
      </c>
      <c r="B703" s="2" t="inlineStr">
        <is>
          <t>150W_3500RPM_R1001</t>
        </is>
      </c>
      <c r="C703" s="2" t="n">
        <v>150</v>
      </c>
      <c r="D703" s="2" t="n">
        <v>3500</v>
      </c>
      <c r="E703" s="3">
        <f>D703*2/60</f>
        <v/>
      </c>
      <c r="F703" s="2" t="inlineStr">
        <is>
          <t>1001</t>
        </is>
      </c>
      <c r="G703" s="2" t="n">
        <v>2</v>
      </c>
      <c r="H703" s="2">
        <f>INDEX(Parametros!$B$2:$B$9,MATCH(G703,Parametros!$A$2:$A$9,0))</f>
        <v/>
      </c>
      <c r="I703" s="4">
        <f>1/(VALUE(MID(F703,1,1))/Parametros!$E$2+VALUE(MID(F703,2,1))/Parametros!$E$3+VALUE(MID(F703,3,1))/Parametros!$E$4+VALUE(MID(F703,4,1))/Parametros!$E$5)</f>
        <v/>
      </c>
      <c r="J703" s="5">
        <f>IF(G703=0,Parametros!$E$8,Parametros!$E$6+Parametros!$E$6*(Parametros!$E$7/G703+I703)/(Parametros!$E$6+Parametros!$E$7/G703+I703))</f>
        <v/>
      </c>
      <c r="K703" s="2" t="inlineStr">
        <is>
          <t>2026-09-24 16:25</t>
        </is>
      </c>
      <c r="L703" s="6" t="inlineStr">
        <is>
          <t>Válido</t>
        </is>
      </c>
      <c r="M703" s="2">
        <f>IF(L703="Válido","Sim","Não")</f>
        <v/>
      </c>
      <c r="N703" s="2" t="inlineStr"/>
    </row>
    <row r="704">
      <c r="A704" s="2" t="inlineStr">
        <is>
          <t>1Bracos_R1001_150W_2026-09-24_16_25.csv</t>
        </is>
      </c>
      <c r="B704" s="2" t="inlineStr">
        <is>
          <t>150W_3500RPM_R1001</t>
        </is>
      </c>
      <c r="C704" s="2" t="n">
        <v>150</v>
      </c>
      <c r="D704" s="2" t="n">
        <v>3500</v>
      </c>
      <c r="E704" s="3">
        <f>D704*2/60</f>
        <v/>
      </c>
      <c r="F704" s="2" t="inlineStr">
        <is>
          <t>1001</t>
        </is>
      </c>
      <c r="G704" s="2" t="n">
        <v>1</v>
      </c>
      <c r="H704" s="2">
        <f>INDEX(Parametros!$B$2:$B$9,MATCH(G704,Parametros!$A$2:$A$9,0))</f>
        <v/>
      </c>
      <c r="I704" s="4">
        <f>1/(VALUE(MID(F704,1,1))/Parametros!$E$2+VALUE(MID(F704,2,1))/Parametros!$E$3+VALUE(MID(F704,3,1))/Parametros!$E$4+VALUE(MID(F704,4,1))/Parametros!$E$5)</f>
        <v/>
      </c>
      <c r="J704" s="5">
        <f>IF(G704=0,Parametros!$E$8,Parametros!$E$6+Parametros!$E$6*(Parametros!$E$7/G704+I704)/(Parametros!$E$6+Parametros!$E$7/G704+I704))</f>
        <v/>
      </c>
      <c r="K704" s="2" t="inlineStr">
        <is>
          <t>2026-09-24 16:25</t>
        </is>
      </c>
      <c r="L704" s="6" t="inlineStr">
        <is>
          <t>Válido</t>
        </is>
      </c>
      <c r="M704" s="2">
        <f>IF(L704="Válido","Sim","Não")</f>
        <v/>
      </c>
      <c r="N704" s="2" t="inlineStr"/>
    </row>
    <row r="705">
      <c r="A705" s="2" t="inlineStr">
        <is>
          <t>0Bracos_R1001_150W_2026-09-24_16_25.csv</t>
        </is>
      </c>
      <c r="B705" s="2" t="inlineStr">
        <is>
          <t>150W_3500RPM_R1001</t>
        </is>
      </c>
      <c r="C705" s="2" t="n">
        <v>150</v>
      </c>
      <c r="D705" s="2" t="n">
        <v>3500</v>
      </c>
      <c r="E705" s="3">
        <f>D705*2/60</f>
        <v/>
      </c>
      <c r="F705" s="2" t="inlineStr">
        <is>
          <t>1001</t>
        </is>
      </c>
      <c r="G705" s="2" t="n">
        <v>0</v>
      </c>
      <c r="H705" s="2">
        <f>INDEX(Parametros!$B$2:$B$9,MATCH(G705,Parametros!$A$2:$A$9,0))</f>
        <v/>
      </c>
      <c r="I705" s="4">
        <f>1/(VALUE(MID(F705,1,1))/Parametros!$E$2+VALUE(MID(F705,2,1))/Parametros!$E$3+VALUE(MID(F705,3,1))/Parametros!$E$4+VALUE(MID(F705,4,1))/Parametros!$E$5)</f>
        <v/>
      </c>
      <c r="J705" s="5">
        <f>IF(G705=0,Parametros!$E$8,Parametros!$E$6+Parametros!$E$6*(Parametros!$E$7/G705+I705)/(Parametros!$E$6+Parametros!$E$7/G705+I705))</f>
        <v/>
      </c>
      <c r="K705" s="2" t="inlineStr">
        <is>
          <t>2026-09-24 16:25</t>
        </is>
      </c>
      <c r="L705" s="6" t="inlineStr">
        <is>
          <t>Válido</t>
        </is>
      </c>
      <c r="M705" s="2">
        <f>IF(L705="Válido","Sim","Não")</f>
        <v/>
      </c>
      <c r="N705" s="2" t="inlineStr"/>
    </row>
    <row r="706">
      <c r="A706" s="2" t="inlineStr">
        <is>
          <t>7Bracos_R1010_150W_2026-09-24_16_25.csv</t>
        </is>
      </c>
      <c r="B706" s="2" t="inlineStr">
        <is>
          <t>150W_3500RPM_R1010</t>
        </is>
      </c>
      <c r="C706" s="2" t="n">
        <v>150</v>
      </c>
      <c r="D706" s="2" t="n">
        <v>3500</v>
      </c>
      <c r="E706" s="3">
        <f>D706*2/60</f>
        <v/>
      </c>
      <c r="F706" s="2" t="inlineStr">
        <is>
          <t>1010</t>
        </is>
      </c>
      <c r="G706" s="2" t="n">
        <v>7</v>
      </c>
      <c r="H706" s="2">
        <f>INDEX(Parametros!$B$2:$B$9,MATCH(G706,Parametros!$A$2:$A$9,0))</f>
        <v/>
      </c>
      <c r="I706" s="4">
        <f>1/(VALUE(MID(F706,1,1))/Parametros!$E$2+VALUE(MID(F706,2,1))/Parametros!$E$3+VALUE(MID(F706,3,1))/Parametros!$E$4+VALUE(MID(F706,4,1))/Parametros!$E$5)</f>
        <v/>
      </c>
      <c r="J706" s="5">
        <f>IF(G706=0,Parametros!$E$8,Parametros!$E$6+Parametros!$E$6*(Parametros!$E$7/G706+I706)/(Parametros!$E$6+Parametros!$E$7/G706+I706))</f>
        <v/>
      </c>
      <c r="K706" s="2" t="inlineStr">
        <is>
          <t>2026-09-24 16:25</t>
        </is>
      </c>
      <c r="L706" s="6" t="inlineStr">
        <is>
          <t>Válido</t>
        </is>
      </c>
      <c r="M706" s="2">
        <f>IF(L706="Válido","Sim","Não")</f>
        <v/>
      </c>
      <c r="N706" s="2" t="inlineStr"/>
    </row>
    <row r="707">
      <c r="A707" s="2" t="inlineStr">
        <is>
          <t>6Bracos_R1010_150W_2026-09-24_16_25.csv</t>
        </is>
      </c>
      <c r="B707" s="2" t="inlineStr">
        <is>
          <t>150W_3500RPM_R1010</t>
        </is>
      </c>
      <c r="C707" s="2" t="n">
        <v>150</v>
      </c>
      <c r="D707" s="2" t="n">
        <v>3500</v>
      </c>
      <c r="E707" s="3">
        <f>D707*2/60</f>
        <v/>
      </c>
      <c r="F707" s="2" t="inlineStr">
        <is>
          <t>1010</t>
        </is>
      </c>
      <c r="G707" s="2" t="n">
        <v>6</v>
      </c>
      <c r="H707" s="2">
        <f>INDEX(Parametros!$B$2:$B$9,MATCH(G707,Parametros!$A$2:$A$9,0))</f>
        <v/>
      </c>
      <c r="I707" s="4">
        <f>1/(VALUE(MID(F707,1,1))/Parametros!$E$2+VALUE(MID(F707,2,1))/Parametros!$E$3+VALUE(MID(F707,3,1))/Parametros!$E$4+VALUE(MID(F707,4,1))/Parametros!$E$5)</f>
        <v/>
      </c>
      <c r="J707" s="5">
        <f>IF(G707=0,Parametros!$E$8,Parametros!$E$6+Parametros!$E$6*(Parametros!$E$7/G707+I707)/(Parametros!$E$6+Parametros!$E$7/G707+I707))</f>
        <v/>
      </c>
      <c r="K707" s="2" t="inlineStr">
        <is>
          <t>2026-09-24 16:25</t>
        </is>
      </c>
      <c r="L707" s="6" t="inlineStr">
        <is>
          <t>Válido</t>
        </is>
      </c>
      <c r="M707" s="2">
        <f>IF(L707="Válido","Sim","Não")</f>
        <v/>
      </c>
      <c r="N707" s="2" t="inlineStr"/>
    </row>
    <row r="708">
      <c r="A708" s="2" t="inlineStr">
        <is>
          <t>5Bracos_R1010_150W_2026-09-24_16_25.csv</t>
        </is>
      </c>
      <c r="B708" s="2" t="inlineStr">
        <is>
          <t>150W_3500RPM_R1010</t>
        </is>
      </c>
      <c r="C708" s="2" t="n">
        <v>150</v>
      </c>
      <c r="D708" s="2" t="n">
        <v>3500</v>
      </c>
      <c r="E708" s="3">
        <f>D708*2/60</f>
        <v/>
      </c>
      <c r="F708" s="2" t="inlineStr">
        <is>
          <t>1010</t>
        </is>
      </c>
      <c r="G708" s="2" t="n">
        <v>5</v>
      </c>
      <c r="H708" s="2">
        <f>INDEX(Parametros!$B$2:$B$9,MATCH(G708,Parametros!$A$2:$A$9,0))</f>
        <v/>
      </c>
      <c r="I708" s="4">
        <f>1/(VALUE(MID(F708,1,1))/Parametros!$E$2+VALUE(MID(F708,2,1))/Parametros!$E$3+VALUE(MID(F708,3,1))/Parametros!$E$4+VALUE(MID(F708,4,1))/Parametros!$E$5)</f>
        <v/>
      </c>
      <c r="J708" s="5">
        <f>IF(G708=0,Parametros!$E$8,Parametros!$E$6+Parametros!$E$6*(Parametros!$E$7/G708+I708)/(Parametros!$E$6+Parametros!$E$7/G708+I708))</f>
        <v/>
      </c>
      <c r="K708" s="2" t="inlineStr">
        <is>
          <t>2026-09-24 16:25</t>
        </is>
      </c>
      <c r="L708" s="6" t="inlineStr">
        <is>
          <t>Válido</t>
        </is>
      </c>
      <c r="M708" s="2">
        <f>IF(L708="Válido","Sim","Não")</f>
        <v/>
      </c>
      <c r="N708" s="2" t="inlineStr"/>
    </row>
    <row r="709">
      <c r="A709" s="2" t="inlineStr">
        <is>
          <t>4Bracos_R1010_150W_2026-09-24_16_25.csv</t>
        </is>
      </c>
      <c r="B709" s="2" t="inlineStr">
        <is>
          <t>150W_3500RPM_R1010</t>
        </is>
      </c>
      <c r="C709" s="2" t="n">
        <v>150</v>
      </c>
      <c r="D709" s="2" t="n">
        <v>3500</v>
      </c>
      <c r="E709" s="3">
        <f>D709*2/60</f>
        <v/>
      </c>
      <c r="F709" s="2" t="inlineStr">
        <is>
          <t>1010</t>
        </is>
      </c>
      <c r="G709" s="2" t="n">
        <v>4</v>
      </c>
      <c r="H709" s="2">
        <f>INDEX(Parametros!$B$2:$B$9,MATCH(G709,Parametros!$A$2:$A$9,0))</f>
        <v/>
      </c>
      <c r="I709" s="4">
        <f>1/(VALUE(MID(F709,1,1))/Parametros!$E$2+VALUE(MID(F709,2,1))/Parametros!$E$3+VALUE(MID(F709,3,1))/Parametros!$E$4+VALUE(MID(F709,4,1))/Parametros!$E$5)</f>
        <v/>
      </c>
      <c r="J709" s="5">
        <f>IF(G709=0,Parametros!$E$8,Parametros!$E$6+Parametros!$E$6*(Parametros!$E$7/G709+I709)/(Parametros!$E$6+Parametros!$E$7/G709+I709))</f>
        <v/>
      </c>
      <c r="K709" s="2" t="inlineStr">
        <is>
          <t>2026-09-24 16:25</t>
        </is>
      </c>
      <c r="L709" s="6" t="inlineStr">
        <is>
          <t>Válido</t>
        </is>
      </c>
      <c r="M709" s="2">
        <f>IF(L709="Válido","Sim","Não")</f>
        <v/>
      </c>
      <c r="N709" s="2" t="inlineStr"/>
    </row>
    <row r="710">
      <c r="A710" s="2" t="inlineStr">
        <is>
          <t>3Bracos_R1010_150W_2026-09-24_16_25.csv</t>
        </is>
      </c>
      <c r="B710" s="2" t="inlineStr">
        <is>
          <t>150W_3500RPM_R1010</t>
        </is>
      </c>
      <c r="C710" s="2" t="n">
        <v>150</v>
      </c>
      <c r="D710" s="2" t="n">
        <v>3500</v>
      </c>
      <c r="E710" s="3">
        <f>D710*2/60</f>
        <v/>
      </c>
      <c r="F710" s="2" t="inlineStr">
        <is>
          <t>1010</t>
        </is>
      </c>
      <c r="G710" s="2" t="n">
        <v>3</v>
      </c>
      <c r="H710" s="2">
        <f>INDEX(Parametros!$B$2:$B$9,MATCH(G710,Parametros!$A$2:$A$9,0))</f>
        <v/>
      </c>
      <c r="I710" s="4">
        <f>1/(VALUE(MID(F710,1,1))/Parametros!$E$2+VALUE(MID(F710,2,1))/Parametros!$E$3+VALUE(MID(F710,3,1))/Parametros!$E$4+VALUE(MID(F710,4,1))/Parametros!$E$5)</f>
        <v/>
      </c>
      <c r="J710" s="5">
        <f>IF(G710=0,Parametros!$E$8,Parametros!$E$6+Parametros!$E$6*(Parametros!$E$7/G710+I710)/(Parametros!$E$6+Parametros!$E$7/G710+I710))</f>
        <v/>
      </c>
      <c r="K710" s="2" t="inlineStr">
        <is>
          <t>2026-09-24 16:25</t>
        </is>
      </c>
      <c r="L710" s="6" t="inlineStr">
        <is>
          <t>Válido</t>
        </is>
      </c>
      <c r="M710" s="2">
        <f>IF(L710="Válido","Sim","Não")</f>
        <v/>
      </c>
      <c r="N710" s="2" t="inlineStr"/>
    </row>
    <row r="711">
      <c r="A711" s="2" t="inlineStr">
        <is>
          <t>2Bracos_R1010_150W_2026-09-24_16_25.csv</t>
        </is>
      </c>
      <c r="B711" s="2" t="inlineStr">
        <is>
          <t>150W_3500RPM_R1010</t>
        </is>
      </c>
      <c r="C711" s="2" t="n">
        <v>150</v>
      </c>
      <c r="D711" s="2" t="n">
        <v>3500</v>
      </c>
      <c r="E711" s="3">
        <f>D711*2/60</f>
        <v/>
      </c>
      <c r="F711" s="2" t="inlineStr">
        <is>
          <t>1010</t>
        </is>
      </c>
      <c r="G711" s="2" t="n">
        <v>2</v>
      </c>
      <c r="H711" s="2">
        <f>INDEX(Parametros!$B$2:$B$9,MATCH(G711,Parametros!$A$2:$A$9,0))</f>
        <v/>
      </c>
      <c r="I711" s="4">
        <f>1/(VALUE(MID(F711,1,1))/Parametros!$E$2+VALUE(MID(F711,2,1))/Parametros!$E$3+VALUE(MID(F711,3,1))/Parametros!$E$4+VALUE(MID(F711,4,1))/Parametros!$E$5)</f>
        <v/>
      </c>
      <c r="J711" s="5">
        <f>IF(G711=0,Parametros!$E$8,Parametros!$E$6+Parametros!$E$6*(Parametros!$E$7/G711+I711)/(Parametros!$E$6+Parametros!$E$7/G711+I711))</f>
        <v/>
      </c>
      <c r="K711" s="2" t="inlineStr">
        <is>
          <t>2026-09-24 16:25</t>
        </is>
      </c>
      <c r="L711" s="6" t="inlineStr">
        <is>
          <t>Válido</t>
        </is>
      </c>
      <c r="M711" s="2">
        <f>IF(L711="Válido","Sim","Não")</f>
        <v/>
      </c>
      <c r="N711" s="2" t="inlineStr"/>
    </row>
    <row r="712">
      <c r="A712" s="2" t="inlineStr">
        <is>
          <t>1Bracos_R1010_150W_2026-09-24_16_25.csv</t>
        </is>
      </c>
      <c r="B712" s="2" t="inlineStr">
        <is>
          <t>150W_3500RPM_R1010</t>
        </is>
      </c>
      <c r="C712" s="2" t="n">
        <v>150</v>
      </c>
      <c r="D712" s="2" t="n">
        <v>3500</v>
      </c>
      <c r="E712" s="3">
        <f>D712*2/60</f>
        <v/>
      </c>
      <c r="F712" s="2" t="inlineStr">
        <is>
          <t>1010</t>
        </is>
      </c>
      <c r="G712" s="2" t="n">
        <v>1</v>
      </c>
      <c r="H712" s="2">
        <f>INDEX(Parametros!$B$2:$B$9,MATCH(G712,Parametros!$A$2:$A$9,0))</f>
        <v/>
      </c>
      <c r="I712" s="4">
        <f>1/(VALUE(MID(F712,1,1))/Parametros!$E$2+VALUE(MID(F712,2,1))/Parametros!$E$3+VALUE(MID(F712,3,1))/Parametros!$E$4+VALUE(MID(F712,4,1))/Parametros!$E$5)</f>
        <v/>
      </c>
      <c r="J712" s="5">
        <f>IF(G712=0,Parametros!$E$8,Parametros!$E$6+Parametros!$E$6*(Parametros!$E$7/G712+I712)/(Parametros!$E$6+Parametros!$E$7/G712+I712))</f>
        <v/>
      </c>
      <c r="K712" s="2" t="inlineStr">
        <is>
          <t>2026-09-24 16:25</t>
        </is>
      </c>
      <c r="L712" s="6" t="inlineStr">
        <is>
          <t>Válido</t>
        </is>
      </c>
      <c r="M712" s="2">
        <f>IF(L712="Válido","Sim","Não")</f>
        <v/>
      </c>
      <c r="N712" s="2" t="inlineStr"/>
    </row>
    <row r="713">
      <c r="A713" s="2" t="inlineStr">
        <is>
          <t>0Bracos_R1010_150W_2026-09-24_16_25.csv</t>
        </is>
      </c>
      <c r="B713" s="2" t="inlineStr">
        <is>
          <t>150W_3500RPM_R1010</t>
        </is>
      </c>
      <c r="C713" s="2" t="n">
        <v>150</v>
      </c>
      <c r="D713" s="2" t="n">
        <v>3500</v>
      </c>
      <c r="E713" s="3">
        <f>D713*2/60</f>
        <v/>
      </c>
      <c r="F713" s="2" t="inlineStr">
        <is>
          <t>1010</t>
        </is>
      </c>
      <c r="G713" s="2" t="n">
        <v>0</v>
      </c>
      <c r="H713" s="2">
        <f>INDEX(Parametros!$B$2:$B$9,MATCH(G713,Parametros!$A$2:$A$9,0))</f>
        <v/>
      </c>
      <c r="I713" s="4">
        <f>1/(VALUE(MID(F713,1,1))/Parametros!$E$2+VALUE(MID(F713,2,1))/Parametros!$E$3+VALUE(MID(F713,3,1))/Parametros!$E$4+VALUE(MID(F713,4,1))/Parametros!$E$5)</f>
        <v/>
      </c>
      <c r="J713" s="5">
        <f>IF(G713=0,Parametros!$E$8,Parametros!$E$6+Parametros!$E$6*(Parametros!$E$7/G713+I713)/(Parametros!$E$6+Parametros!$E$7/G713+I713))</f>
        <v/>
      </c>
      <c r="K713" s="2" t="inlineStr">
        <is>
          <t>2026-09-24 16:25</t>
        </is>
      </c>
      <c r="L713" s="6" t="inlineStr">
        <is>
          <t>Válido</t>
        </is>
      </c>
      <c r="M713" s="2">
        <f>IF(L713="Válido","Sim","Não")</f>
        <v/>
      </c>
      <c r="N713" s="2" t="inlineStr"/>
    </row>
    <row r="714">
      <c r="A714" s="2" t="inlineStr">
        <is>
          <t>7Bracos_R1011_150W_2026-09-24_16_25.csv</t>
        </is>
      </c>
      <c r="B714" s="2" t="inlineStr">
        <is>
          <t>150W_3500RPM_R1011</t>
        </is>
      </c>
      <c r="C714" s="2" t="n">
        <v>150</v>
      </c>
      <c r="D714" s="2" t="n">
        <v>3500</v>
      </c>
      <c r="E714" s="3">
        <f>D714*2/60</f>
        <v/>
      </c>
      <c r="F714" s="2" t="inlineStr">
        <is>
          <t>1011</t>
        </is>
      </c>
      <c r="G714" s="2" t="n">
        <v>7</v>
      </c>
      <c r="H714" s="2">
        <f>INDEX(Parametros!$B$2:$B$9,MATCH(G714,Parametros!$A$2:$A$9,0))</f>
        <v/>
      </c>
      <c r="I714" s="4">
        <f>1/(VALUE(MID(F714,1,1))/Parametros!$E$2+VALUE(MID(F714,2,1))/Parametros!$E$3+VALUE(MID(F714,3,1))/Parametros!$E$4+VALUE(MID(F714,4,1))/Parametros!$E$5)</f>
        <v/>
      </c>
      <c r="J714" s="5">
        <f>IF(G714=0,Parametros!$E$8,Parametros!$E$6+Parametros!$E$6*(Parametros!$E$7/G714+I714)/(Parametros!$E$6+Parametros!$E$7/G714+I714))</f>
        <v/>
      </c>
      <c r="K714" s="2" t="inlineStr">
        <is>
          <t>2026-09-24 16:25</t>
        </is>
      </c>
      <c r="L714" s="6" t="inlineStr">
        <is>
          <t>Válido</t>
        </is>
      </c>
      <c r="M714" s="2">
        <f>IF(L714="Válido","Sim","Não")</f>
        <v/>
      </c>
      <c r="N714" s="2" t="inlineStr"/>
    </row>
    <row r="715">
      <c r="A715" s="2" t="inlineStr">
        <is>
          <t>6Bracos_R1011_150W_2026-09-24_16_25.csv</t>
        </is>
      </c>
      <c r="B715" s="2" t="inlineStr">
        <is>
          <t>150W_3500RPM_R1011</t>
        </is>
      </c>
      <c r="C715" s="2" t="n">
        <v>150</v>
      </c>
      <c r="D715" s="2" t="n">
        <v>3500</v>
      </c>
      <c r="E715" s="3">
        <f>D715*2/60</f>
        <v/>
      </c>
      <c r="F715" s="2" t="inlineStr">
        <is>
          <t>1011</t>
        </is>
      </c>
      <c r="G715" s="2" t="n">
        <v>6</v>
      </c>
      <c r="H715" s="2">
        <f>INDEX(Parametros!$B$2:$B$9,MATCH(G715,Parametros!$A$2:$A$9,0))</f>
        <v/>
      </c>
      <c r="I715" s="4">
        <f>1/(VALUE(MID(F715,1,1))/Parametros!$E$2+VALUE(MID(F715,2,1))/Parametros!$E$3+VALUE(MID(F715,3,1))/Parametros!$E$4+VALUE(MID(F715,4,1))/Parametros!$E$5)</f>
        <v/>
      </c>
      <c r="J715" s="5">
        <f>IF(G715=0,Parametros!$E$8,Parametros!$E$6+Parametros!$E$6*(Parametros!$E$7/G715+I715)/(Parametros!$E$6+Parametros!$E$7/G715+I715))</f>
        <v/>
      </c>
      <c r="K715" s="2" t="inlineStr">
        <is>
          <t>2026-09-24 16:25</t>
        </is>
      </c>
      <c r="L715" s="6" t="inlineStr">
        <is>
          <t>Válido</t>
        </is>
      </c>
      <c r="M715" s="2">
        <f>IF(L715="Válido","Sim","Não")</f>
        <v/>
      </c>
      <c r="N715" s="2" t="inlineStr"/>
    </row>
    <row r="716">
      <c r="A716" s="2" t="inlineStr">
        <is>
          <t>5Bracos_R1011_150W_2026-09-24_16_25.csv</t>
        </is>
      </c>
      <c r="B716" s="2" t="inlineStr">
        <is>
          <t>150W_3500RPM_R1011</t>
        </is>
      </c>
      <c r="C716" s="2" t="n">
        <v>150</v>
      </c>
      <c r="D716" s="2" t="n">
        <v>3500</v>
      </c>
      <c r="E716" s="3">
        <f>D716*2/60</f>
        <v/>
      </c>
      <c r="F716" s="2" t="inlineStr">
        <is>
          <t>1011</t>
        </is>
      </c>
      <c r="G716" s="2" t="n">
        <v>5</v>
      </c>
      <c r="H716" s="2">
        <f>INDEX(Parametros!$B$2:$B$9,MATCH(G716,Parametros!$A$2:$A$9,0))</f>
        <v/>
      </c>
      <c r="I716" s="4">
        <f>1/(VALUE(MID(F716,1,1))/Parametros!$E$2+VALUE(MID(F716,2,1))/Parametros!$E$3+VALUE(MID(F716,3,1))/Parametros!$E$4+VALUE(MID(F716,4,1))/Parametros!$E$5)</f>
        <v/>
      </c>
      <c r="J716" s="5">
        <f>IF(G716=0,Parametros!$E$8,Parametros!$E$6+Parametros!$E$6*(Parametros!$E$7/G716+I716)/(Parametros!$E$6+Parametros!$E$7/G716+I716))</f>
        <v/>
      </c>
      <c r="K716" s="2" t="inlineStr">
        <is>
          <t>2026-09-24 16:25</t>
        </is>
      </c>
      <c r="L716" s="6" t="inlineStr">
        <is>
          <t>Válido</t>
        </is>
      </c>
      <c r="M716" s="2">
        <f>IF(L716="Válido","Sim","Não")</f>
        <v/>
      </c>
      <c r="N716" s="2" t="inlineStr"/>
    </row>
    <row r="717">
      <c r="A717" s="2" t="inlineStr">
        <is>
          <t>4Bracos_R1011_150W_2026-09-24_16_25.csv</t>
        </is>
      </c>
      <c r="B717" s="2" t="inlineStr">
        <is>
          <t>150W_3500RPM_R1011</t>
        </is>
      </c>
      <c r="C717" s="2" t="n">
        <v>150</v>
      </c>
      <c r="D717" s="2" t="n">
        <v>3500</v>
      </c>
      <c r="E717" s="3">
        <f>D717*2/60</f>
        <v/>
      </c>
      <c r="F717" s="2" t="inlineStr">
        <is>
          <t>1011</t>
        </is>
      </c>
      <c r="G717" s="2" t="n">
        <v>4</v>
      </c>
      <c r="H717" s="2">
        <f>INDEX(Parametros!$B$2:$B$9,MATCH(G717,Parametros!$A$2:$A$9,0))</f>
        <v/>
      </c>
      <c r="I717" s="4">
        <f>1/(VALUE(MID(F717,1,1))/Parametros!$E$2+VALUE(MID(F717,2,1))/Parametros!$E$3+VALUE(MID(F717,3,1))/Parametros!$E$4+VALUE(MID(F717,4,1))/Parametros!$E$5)</f>
        <v/>
      </c>
      <c r="J717" s="5">
        <f>IF(G717=0,Parametros!$E$8,Parametros!$E$6+Parametros!$E$6*(Parametros!$E$7/G717+I717)/(Parametros!$E$6+Parametros!$E$7/G717+I717))</f>
        <v/>
      </c>
      <c r="K717" s="2" t="inlineStr">
        <is>
          <t>2026-09-24 16:25</t>
        </is>
      </c>
      <c r="L717" s="6" t="inlineStr">
        <is>
          <t>Válido</t>
        </is>
      </c>
      <c r="M717" s="2">
        <f>IF(L717="Válido","Sim","Não")</f>
        <v/>
      </c>
      <c r="N717" s="2" t="inlineStr"/>
    </row>
    <row r="718">
      <c r="A718" s="2" t="inlineStr">
        <is>
          <t>3Bracos_R1011_150W_2026-09-24_16_25.csv</t>
        </is>
      </c>
      <c r="B718" s="2" t="inlineStr">
        <is>
          <t>150W_3500RPM_R1011</t>
        </is>
      </c>
      <c r="C718" s="2" t="n">
        <v>150</v>
      </c>
      <c r="D718" s="2" t="n">
        <v>3500</v>
      </c>
      <c r="E718" s="3">
        <f>D718*2/60</f>
        <v/>
      </c>
      <c r="F718" s="2" t="inlineStr">
        <is>
          <t>1011</t>
        </is>
      </c>
      <c r="G718" s="2" t="n">
        <v>3</v>
      </c>
      <c r="H718" s="2">
        <f>INDEX(Parametros!$B$2:$B$9,MATCH(G718,Parametros!$A$2:$A$9,0))</f>
        <v/>
      </c>
      <c r="I718" s="4">
        <f>1/(VALUE(MID(F718,1,1))/Parametros!$E$2+VALUE(MID(F718,2,1))/Parametros!$E$3+VALUE(MID(F718,3,1))/Parametros!$E$4+VALUE(MID(F718,4,1))/Parametros!$E$5)</f>
        <v/>
      </c>
      <c r="J718" s="5">
        <f>IF(G718=0,Parametros!$E$8,Parametros!$E$6+Parametros!$E$6*(Parametros!$E$7/G718+I718)/(Parametros!$E$6+Parametros!$E$7/G718+I718))</f>
        <v/>
      </c>
      <c r="K718" s="2" t="inlineStr">
        <is>
          <t>2026-09-24 16:25</t>
        </is>
      </c>
      <c r="L718" s="6" t="inlineStr">
        <is>
          <t>Válido</t>
        </is>
      </c>
      <c r="M718" s="2">
        <f>IF(L718="Válido","Sim","Não")</f>
        <v/>
      </c>
      <c r="N718" s="2" t="inlineStr"/>
    </row>
    <row r="719">
      <c r="A719" s="2" t="inlineStr">
        <is>
          <t>2Bracos_R1011_150W_2026-09-24_16_25.csv</t>
        </is>
      </c>
      <c r="B719" s="2" t="inlineStr">
        <is>
          <t>150W_3500RPM_R1011</t>
        </is>
      </c>
      <c r="C719" s="2" t="n">
        <v>150</v>
      </c>
      <c r="D719" s="2" t="n">
        <v>3500</v>
      </c>
      <c r="E719" s="3">
        <f>D719*2/60</f>
        <v/>
      </c>
      <c r="F719" s="2" t="inlineStr">
        <is>
          <t>1011</t>
        </is>
      </c>
      <c r="G719" s="2" t="n">
        <v>2</v>
      </c>
      <c r="H719" s="2">
        <f>INDEX(Parametros!$B$2:$B$9,MATCH(G719,Parametros!$A$2:$A$9,0))</f>
        <v/>
      </c>
      <c r="I719" s="4">
        <f>1/(VALUE(MID(F719,1,1))/Parametros!$E$2+VALUE(MID(F719,2,1))/Parametros!$E$3+VALUE(MID(F719,3,1))/Parametros!$E$4+VALUE(MID(F719,4,1))/Parametros!$E$5)</f>
        <v/>
      </c>
      <c r="J719" s="5">
        <f>IF(G719=0,Parametros!$E$8,Parametros!$E$6+Parametros!$E$6*(Parametros!$E$7/G719+I719)/(Parametros!$E$6+Parametros!$E$7/G719+I719))</f>
        <v/>
      </c>
      <c r="K719" s="2" t="inlineStr">
        <is>
          <t>2026-09-24 16:25</t>
        </is>
      </c>
      <c r="L719" s="6" t="inlineStr">
        <is>
          <t>Válido</t>
        </is>
      </c>
      <c r="M719" s="2">
        <f>IF(L719="Válido","Sim","Não")</f>
        <v/>
      </c>
      <c r="N719" s="2" t="inlineStr"/>
    </row>
    <row r="720">
      <c r="A720" s="2" t="inlineStr">
        <is>
          <t>1Bracos_R1011_150W_2026-09-24_16_25.csv</t>
        </is>
      </c>
      <c r="B720" s="2" t="inlineStr">
        <is>
          <t>150W_3500RPM_R1011</t>
        </is>
      </c>
      <c r="C720" s="2" t="n">
        <v>150</v>
      </c>
      <c r="D720" s="2" t="n">
        <v>3500</v>
      </c>
      <c r="E720" s="3">
        <f>D720*2/60</f>
        <v/>
      </c>
      <c r="F720" s="2" t="inlineStr">
        <is>
          <t>1011</t>
        </is>
      </c>
      <c r="G720" s="2" t="n">
        <v>1</v>
      </c>
      <c r="H720" s="2">
        <f>INDEX(Parametros!$B$2:$B$9,MATCH(G720,Parametros!$A$2:$A$9,0))</f>
        <v/>
      </c>
      <c r="I720" s="4">
        <f>1/(VALUE(MID(F720,1,1))/Parametros!$E$2+VALUE(MID(F720,2,1))/Parametros!$E$3+VALUE(MID(F720,3,1))/Parametros!$E$4+VALUE(MID(F720,4,1))/Parametros!$E$5)</f>
        <v/>
      </c>
      <c r="J720" s="5">
        <f>IF(G720=0,Parametros!$E$8,Parametros!$E$6+Parametros!$E$6*(Parametros!$E$7/G720+I720)/(Parametros!$E$6+Parametros!$E$7/G720+I720))</f>
        <v/>
      </c>
      <c r="K720" s="2" t="inlineStr">
        <is>
          <t>2026-09-24 16:25</t>
        </is>
      </c>
      <c r="L720" s="6" t="inlineStr">
        <is>
          <t>Válido</t>
        </is>
      </c>
      <c r="M720" s="2">
        <f>IF(L720="Válido","Sim","Não")</f>
        <v/>
      </c>
      <c r="N720" s="2" t="inlineStr"/>
    </row>
    <row r="721">
      <c r="A721" s="2" t="inlineStr">
        <is>
          <t>0Bracos_R1011_150W_2026-09-24_16_25.csv</t>
        </is>
      </c>
      <c r="B721" s="2" t="inlineStr">
        <is>
          <t>150W_3500RPM_R1011</t>
        </is>
      </c>
      <c r="C721" s="2" t="n">
        <v>150</v>
      </c>
      <c r="D721" s="2" t="n">
        <v>3500</v>
      </c>
      <c r="E721" s="3">
        <f>D721*2/60</f>
        <v/>
      </c>
      <c r="F721" s="2" t="inlineStr">
        <is>
          <t>1011</t>
        </is>
      </c>
      <c r="G721" s="2" t="n">
        <v>0</v>
      </c>
      <c r="H721" s="2">
        <f>INDEX(Parametros!$B$2:$B$9,MATCH(G721,Parametros!$A$2:$A$9,0))</f>
        <v/>
      </c>
      <c r="I721" s="4">
        <f>1/(VALUE(MID(F721,1,1))/Parametros!$E$2+VALUE(MID(F721,2,1))/Parametros!$E$3+VALUE(MID(F721,3,1))/Parametros!$E$4+VALUE(MID(F721,4,1))/Parametros!$E$5)</f>
        <v/>
      </c>
      <c r="J721" s="5">
        <f>IF(G721=0,Parametros!$E$8,Parametros!$E$6+Parametros!$E$6*(Parametros!$E$7/G721+I721)/(Parametros!$E$6+Parametros!$E$7/G721+I721))</f>
        <v/>
      </c>
      <c r="K721" s="2" t="inlineStr">
        <is>
          <t>2026-09-24 16:25</t>
        </is>
      </c>
      <c r="L721" s="6" t="inlineStr">
        <is>
          <t>Válido</t>
        </is>
      </c>
      <c r="M721" s="2">
        <f>IF(L721="Válido","Sim","Não")</f>
        <v/>
      </c>
      <c r="N721" s="2" t="inlineStr"/>
    </row>
    <row r="722">
      <c r="A722" s="2" t="inlineStr">
        <is>
          <t>7Bracos_R1100_150W_2026-09-24_16_25.csv</t>
        </is>
      </c>
      <c r="B722" s="2" t="inlineStr">
        <is>
          <t>150W_3500RPM_R1100</t>
        </is>
      </c>
      <c r="C722" s="2" t="n">
        <v>150</v>
      </c>
      <c r="D722" s="2" t="n">
        <v>3500</v>
      </c>
      <c r="E722" s="3">
        <f>D722*2/60</f>
        <v/>
      </c>
      <c r="F722" s="2" t="inlineStr">
        <is>
          <t>1100</t>
        </is>
      </c>
      <c r="G722" s="2" t="n">
        <v>7</v>
      </c>
      <c r="H722" s="2">
        <f>INDEX(Parametros!$B$2:$B$9,MATCH(G722,Parametros!$A$2:$A$9,0))</f>
        <v/>
      </c>
      <c r="I722" s="4">
        <f>1/(VALUE(MID(F722,1,1))/Parametros!$E$2+VALUE(MID(F722,2,1))/Parametros!$E$3+VALUE(MID(F722,3,1))/Parametros!$E$4+VALUE(MID(F722,4,1))/Parametros!$E$5)</f>
        <v/>
      </c>
      <c r="J722" s="5">
        <f>IF(G722=0,Parametros!$E$8,Parametros!$E$6+Parametros!$E$6*(Parametros!$E$7/G722+I722)/(Parametros!$E$6+Parametros!$E$7/G722+I722))</f>
        <v/>
      </c>
      <c r="K722" s="2" t="inlineStr">
        <is>
          <t>2026-09-24 16:25</t>
        </is>
      </c>
      <c r="L722" s="6" t="inlineStr">
        <is>
          <t>Válido</t>
        </is>
      </c>
      <c r="M722" s="2">
        <f>IF(L722="Válido","Sim","Não")</f>
        <v/>
      </c>
      <c r="N722" s="2" t="inlineStr"/>
    </row>
    <row r="723">
      <c r="A723" s="2" t="inlineStr">
        <is>
          <t>6Bracos_R1100_150W_2026-09-24_16_25.csv</t>
        </is>
      </c>
      <c r="B723" s="2" t="inlineStr">
        <is>
          <t>150W_3500RPM_R1100</t>
        </is>
      </c>
      <c r="C723" s="2" t="n">
        <v>150</v>
      </c>
      <c r="D723" s="2" t="n">
        <v>3500</v>
      </c>
      <c r="E723" s="3">
        <f>D723*2/60</f>
        <v/>
      </c>
      <c r="F723" s="2" t="inlineStr">
        <is>
          <t>1100</t>
        </is>
      </c>
      <c r="G723" s="2" t="n">
        <v>6</v>
      </c>
      <c r="H723" s="2">
        <f>INDEX(Parametros!$B$2:$B$9,MATCH(G723,Parametros!$A$2:$A$9,0))</f>
        <v/>
      </c>
      <c r="I723" s="4">
        <f>1/(VALUE(MID(F723,1,1))/Parametros!$E$2+VALUE(MID(F723,2,1))/Parametros!$E$3+VALUE(MID(F723,3,1))/Parametros!$E$4+VALUE(MID(F723,4,1))/Parametros!$E$5)</f>
        <v/>
      </c>
      <c r="J723" s="5">
        <f>IF(G723=0,Parametros!$E$8,Parametros!$E$6+Parametros!$E$6*(Parametros!$E$7/G723+I723)/(Parametros!$E$6+Parametros!$E$7/G723+I723))</f>
        <v/>
      </c>
      <c r="K723" s="2" t="inlineStr">
        <is>
          <t>2026-09-24 16:25</t>
        </is>
      </c>
      <c r="L723" s="6" t="inlineStr">
        <is>
          <t>Válido</t>
        </is>
      </c>
      <c r="M723" s="2">
        <f>IF(L723="Válido","Sim","Não")</f>
        <v/>
      </c>
      <c r="N723" s="2" t="inlineStr"/>
    </row>
    <row r="724">
      <c r="A724" s="2" t="inlineStr">
        <is>
          <t>5Bracos_R1100_150W_2026-09-24_16_25.csv</t>
        </is>
      </c>
      <c r="B724" s="2" t="inlineStr">
        <is>
          <t>150W_3500RPM_R1100</t>
        </is>
      </c>
      <c r="C724" s="2" t="n">
        <v>150</v>
      </c>
      <c r="D724" s="2" t="n">
        <v>3500</v>
      </c>
      <c r="E724" s="3">
        <f>D724*2/60</f>
        <v/>
      </c>
      <c r="F724" s="2" t="inlineStr">
        <is>
          <t>1100</t>
        </is>
      </c>
      <c r="G724" s="2" t="n">
        <v>5</v>
      </c>
      <c r="H724" s="2">
        <f>INDEX(Parametros!$B$2:$B$9,MATCH(G724,Parametros!$A$2:$A$9,0))</f>
        <v/>
      </c>
      <c r="I724" s="4">
        <f>1/(VALUE(MID(F724,1,1))/Parametros!$E$2+VALUE(MID(F724,2,1))/Parametros!$E$3+VALUE(MID(F724,3,1))/Parametros!$E$4+VALUE(MID(F724,4,1))/Parametros!$E$5)</f>
        <v/>
      </c>
      <c r="J724" s="5">
        <f>IF(G724=0,Parametros!$E$8,Parametros!$E$6+Parametros!$E$6*(Parametros!$E$7/G724+I724)/(Parametros!$E$6+Parametros!$E$7/G724+I724))</f>
        <v/>
      </c>
      <c r="K724" s="2" t="inlineStr">
        <is>
          <t>2026-09-24 16:25</t>
        </is>
      </c>
      <c r="L724" s="6" t="inlineStr">
        <is>
          <t>Válido</t>
        </is>
      </c>
      <c r="M724" s="2">
        <f>IF(L724="Válido","Sim","Não")</f>
        <v/>
      </c>
      <c r="N724" s="2" t="inlineStr"/>
    </row>
    <row r="725">
      <c r="A725" s="2" t="inlineStr">
        <is>
          <t>4Bracos_R1100_150W_2026-09-24_16_25.csv</t>
        </is>
      </c>
      <c r="B725" s="2" t="inlineStr">
        <is>
          <t>150W_3500RPM_R1100</t>
        </is>
      </c>
      <c r="C725" s="2" t="n">
        <v>150</v>
      </c>
      <c r="D725" s="2" t="n">
        <v>3500</v>
      </c>
      <c r="E725" s="3">
        <f>D725*2/60</f>
        <v/>
      </c>
      <c r="F725" s="2" t="inlineStr">
        <is>
          <t>1100</t>
        </is>
      </c>
      <c r="G725" s="2" t="n">
        <v>4</v>
      </c>
      <c r="H725" s="2">
        <f>INDEX(Parametros!$B$2:$B$9,MATCH(G725,Parametros!$A$2:$A$9,0))</f>
        <v/>
      </c>
      <c r="I725" s="4">
        <f>1/(VALUE(MID(F725,1,1))/Parametros!$E$2+VALUE(MID(F725,2,1))/Parametros!$E$3+VALUE(MID(F725,3,1))/Parametros!$E$4+VALUE(MID(F725,4,1))/Parametros!$E$5)</f>
        <v/>
      </c>
      <c r="J725" s="5">
        <f>IF(G725=0,Parametros!$E$8,Parametros!$E$6+Parametros!$E$6*(Parametros!$E$7/G725+I725)/(Parametros!$E$6+Parametros!$E$7/G725+I725))</f>
        <v/>
      </c>
      <c r="K725" s="2" t="inlineStr">
        <is>
          <t>2026-09-24 16:25</t>
        </is>
      </c>
      <c r="L725" s="6" t="inlineStr">
        <is>
          <t>Válido</t>
        </is>
      </c>
      <c r="M725" s="2">
        <f>IF(L725="Válido","Sim","Não")</f>
        <v/>
      </c>
      <c r="N725" s="2" t="inlineStr"/>
    </row>
    <row r="726">
      <c r="A726" s="2" t="inlineStr">
        <is>
          <t>3Bracos_R1100_150W_2026-09-24_16_25.csv</t>
        </is>
      </c>
      <c r="B726" s="2" t="inlineStr">
        <is>
          <t>150W_3500RPM_R1100</t>
        </is>
      </c>
      <c r="C726" s="2" t="n">
        <v>150</v>
      </c>
      <c r="D726" s="2" t="n">
        <v>3500</v>
      </c>
      <c r="E726" s="3">
        <f>D726*2/60</f>
        <v/>
      </c>
      <c r="F726" s="2" t="inlineStr">
        <is>
          <t>1100</t>
        </is>
      </c>
      <c r="G726" s="2" t="n">
        <v>3</v>
      </c>
      <c r="H726" s="2">
        <f>INDEX(Parametros!$B$2:$B$9,MATCH(G726,Parametros!$A$2:$A$9,0))</f>
        <v/>
      </c>
      <c r="I726" s="4">
        <f>1/(VALUE(MID(F726,1,1))/Parametros!$E$2+VALUE(MID(F726,2,1))/Parametros!$E$3+VALUE(MID(F726,3,1))/Parametros!$E$4+VALUE(MID(F726,4,1))/Parametros!$E$5)</f>
        <v/>
      </c>
      <c r="J726" s="5">
        <f>IF(G726=0,Parametros!$E$8,Parametros!$E$6+Parametros!$E$6*(Parametros!$E$7/G726+I726)/(Parametros!$E$6+Parametros!$E$7/G726+I726))</f>
        <v/>
      </c>
      <c r="K726" s="2" t="inlineStr">
        <is>
          <t>2026-09-24 16:25</t>
        </is>
      </c>
      <c r="L726" s="6" t="inlineStr">
        <is>
          <t>Válido</t>
        </is>
      </c>
      <c r="M726" s="2">
        <f>IF(L726="Válido","Sim","Não")</f>
        <v/>
      </c>
      <c r="N726" s="2" t="inlineStr"/>
    </row>
    <row r="727">
      <c r="A727" s="2" t="inlineStr">
        <is>
          <t>2Bracos_R1100_150W_2026-09-24_16_25.csv</t>
        </is>
      </c>
      <c r="B727" s="2" t="inlineStr">
        <is>
          <t>150W_3500RPM_R1100</t>
        </is>
      </c>
      <c r="C727" s="2" t="n">
        <v>150</v>
      </c>
      <c r="D727" s="2" t="n">
        <v>3500</v>
      </c>
      <c r="E727" s="3">
        <f>D727*2/60</f>
        <v/>
      </c>
      <c r="F727" s="2" t="inlineStr">
        <is>
          <t>1100</t>
        </is>
      </c>
      <c r="G727" s="2" t="n">
        <v>2</v>
      </c>
      <c r="H727" s="2">
        <f>INDEX(Parametros!$B$2:$B$9,MATCH(G727,Parametros!$A$2:$A$9,0))</f>
        <v/>
      </c>
      <c r="I727" s="4">
        <f>1/(VALUE(MID(F727,1,1))/Parametros!$E$2+VALUE(MID(F727,2,1))/Parametros!$E$3+VALUE(MID(F727,3,1))/Parametros!$E$4+VALUE(MID(F727,4,1))/Parametros!$E$5)</f>
        <v/>
      </c>
      <c r="J727" s="5">
        <f>IF(G727=0,Parametros!$E$8,Parametros!$E$6+Parametros!$E$6*(Parametros!$E$7/G727+I727)/(Parametros!$E$6+Parametros!$E$7/G727+I727))</f>
        <v/>
      </c>
      <c r="K727" s="2" t="inlineStr">
        <is>
          <t>2026-09-24 16:25</t>
        </is>
      </c>
      <c r="L727" s="6" t="inlineStr">
        <is>
          <t>Válido</t>
        </is>
      </c>
      <c r="M727" s="2">
        <f>IF(L727="Válido","Sim","Não")</f>
        <v/>
      </c>
      <c r="N727" s="2" t="inlineStr"/>
    </row>
    <row r="728">
      <c r="A728" s="2" t="inlineStr">
        <is>
          <t>1Bracos_R1100_150W_2026-09-24_16_25.csv</t>
        </is>
      </c>
      <c r="B728" s="2" t="inlineStr">
        <is>
          <t>150W_3500RPM_R1100</t>
        </is>
      </c>
      <c r="C728" s="2" t="n">
        <v>150</v>
      </c>
      <c r="D728" s="2" t="n">
        <v>3500</v>
      </c>
      <c r="E728" s="3">
        <f>D728*2/60</f>
        <v/>
      </c>
      <c r="F728" s="2" t="inlineStr">
        <is>
          <t>1100</t>
        </is>
      </c>
      <c r="G728" s="2" t="n">
        <v>1</v>
      </c>
      <c r="H728" s="2">
        <f>INDEX(Parametros!$B$2:$B$9,MATCH(G728,Parametros!$A$2:$A$9,0))</f>
        <v/>
      </c>
      <c r="I728" s="4">
        <f>1/(VALUE(MID(F728,1,1))/Parametros!$E$2+VALUE(MID(F728,2,1))/Parametros!$E$3+VALUE(MID(F728,3,1))/Parametros!$E$4+VALUE(MID(F728,4,1))/Parametros!$E$5)</f>
        <v/>
      </c>
      <c r="J728" s="5">
        <f>IF(G728=0,Parametros!$E$8,Parametros!$E$6+Parametros!$E$6*(Parametros!$E$7/G728+I728)/(Parametros!$E$6+Parametros!$E$7/G728+I728))</f>
        <v/>
      </c>
      <c r="K728" s="2" t="inlineStr">
        <is>
          <t>2026-09-24 16:25</t>
        </is>
      </c>
      <c r="L728" s="6" t="inlineStr">
        <is>
          <t>Válido</t>
        </is>
      </c>
      <c r="M728" s="2">
        <f>IF(L728="Válido","Sim","Não")</f>
        <v/>
      </c>
      <c r="N728" s="2" t="inlineStr"/>
    </row>
    <row r="729">
      <c r="A729" s="2" t="inlineStr">
        <is>
          <t>0Bracos_R1100_150W_2026-09-24_16_25.csv</t>
        </is>
      </c>
      <c r="B729" s="2" t="inlineStr">
        <is>
          <t>150W_3500RPM_R1100</t>
        </is>
      </c>
      <c r="C729" s="2" t="n">
        <v>150</v>
      </c>
      <c r="D729" s="2" t="n">
        <v>3500</v>
      </c>
      <c r="E729" s="3">
        <f>D729*2/60</f>
        <v/>
      </c>
      <c r="F729" s="2" t="inlineStr">
        <is>
          <t>1100</t>
        </is>
      </c>
      <c r="G729" s="2" t="n">
        <v>0</v>
      </c>
      <c r="H729" s="2">
        <f>INDEX(Parametros!$B$2:$B$9,MATCH(G729,Parametros!$A$2:$A$9,0))</f>
        <v/>
      </c>
      <c r="I729" s="4">
        <f>1/(VALUE(MID(F729,1,1))/Parametros!$E$2+VALUE(MID(F729,2,1))/Parametros!$E$3+VALUE(MID(F729,3,1))/Parametros!$E$4+VALUE(MID(F729,4,1))/Parametros!$E$5)</f>
        <v/>
      </c>
      <c r="J729" s="5">
        <f>IF(G729=0,Parametros!$E$8,Parametros!$E$6+Parametros!$E$6*(Parametros!$E$7/G729+I729)/(Parametros!$E$6+Parametros!$E$7/G729+I729))</f>
        <v/>
      </c>
      <c r="K729" s="2" t="inlineStr">
        <is>
          <t>2026-09-24 16:25</t>
        </is>
      </c>
      <c r="L729" s="6" t="inlineStr">
        <is>
          <t>Válido</t>
        </is>
      </c>
      <c r="M729" s="2">
        <f>IF(L729="Válido","Sim","Não")</f>
        <v/>
      </c>
      <c r="N729" s="2" t="inlineStr"/>
    </row>
    <row r="730">
      <c r="A730" s="2" t="inlineStr">
        <is>
          <t>7Bracos_R1101_150W_2026-09-24_16_25.csv</t>
        </is>
      </c>
      <c r="B730" s="2" t="inlineStr">
        <is>
          <t>150W_3500RPM_R1101</t>
        </is>
      </c>
      <c r="C730" s="2" t="n">
        <v>150</v>
      </c>
      <c r="D730" s="2" t="n">
        <v>3500</v>
      </c>
      <c r="E730" s="3">
        <f>D730*2/60</f>
        <v/>
      </c>
      <c r="F730" s="2" t="inlineStr">
        <is>
          <t>1101</t>
        </is>
      </c>
      <c r="G730" s="2" t="n">
        <v>7</v>
      </c>
      <c r="H730" s="2">
        <f>INDEX(Parametros!$B$2:$B$9,MATCH(G730,Parametros!$A$2:$A$9,0))</f>
        <v/>
      </c>
      <c r="I730" s="4">
        <f>1/(VALUE(MID(F730,1,1))/Parametros!$E$2+VALUE(MID(F730,2,1))/Parametros!$E$3+VALUE(MID(F730,3,1))/Parametros!$E$4+VALUE(MID(F730,4,1))/Parametros!$E$5)</f>
        <v/>
      </c>
      <c r="J730" s="5">
        <f>IF(G730=0,Parametros!$E$8,Parametros!$E$6+Parametros!$E$6*(Parametros!$E$7/G730+I730)/(Parametros!$E$6+Parametros!$E$7/G730+I730))</f>
        <v/>
      </c>
      <c r="K730" s="2" t="inlineStr">
        <is>
          <t>2026-09-24 16:25</t>
        </is>
      </c>
      <c r="L730" s="6" t="inlineStr">
        <is>
          <t>Válido</t>
        </is>
      </c>
      <c r="M730" s="2">
        <f>IF(L730="Válido","Sim","Não")</f>
        <v/>
      </c>
      <c r="N730" s="2" t="inlineStr"/>
    </row>
    <row r="731">
      <c r="A731" s="2" t="inlineStr">
        <is>
          <t>6Bracos_R1101_150W_2026-09-24_16_25.csv</t>
        </is>
      </c>
      <c r="B731" s="2" t="inlineStr">
        <is>
          <t>150W_3500RPM_R1101</t>
        </is>
      </c>
      <c r="C731" s="2" t="n">
        <v>150</v>
      </c>
      <c r="D731" s="2" t="n">
        <v>3500</v>
      </c>
      <c r="E731" s="3">
        <f>D731*2/60</f>
        <v/>
      </c>
      <c r="F731" s="2" t="inlineStr">
        <is>
          <t>1101</t>
        </is>
      </c>
      <c r="G731" s="2" t="n">
        <v>6</v>
      </c>
      <c r="H731" s="2">
        <f>INDEX(Parametros!$B$2:$B$9,MATCH(G731,Parametros!$A$2:$A$9,0))</f>
        <v/>
      </c>
      <c r="I731" s="4">
        <f>1/(VALUE(MID(F731,1,1))/Parametros!$E$2+VALUE(MID(F731,2,1))/Parametros!$E$3+VALUE(MID(F731,3,1))/Parametros!$E$4+VALUE(MID(F731,4,1))/Parametros!$E$5)</f>
        <v/>
      </c>
      <c r="J731" s="5">
        <f>IF(G731=0,Parametros!$E$8,Parametros!$E$6+Parametros!$E$6*(Parametros!$E$7/G731+I731)/(Parametros!$E$6+Parametros!$E$7/G731+I731))</f>
        <v/>
      </c>
      <c r="K731" s="2" t="inlineStr">
        <is>
          <t>2026-09-24 16:25</t>
        </is>
      </c>
      <c r="L731" s="6" t="inlineStr">
        <is>
          <t>Válido</t>
        </is>
      </c>
      <c r="M731" s="2">
        <f>IF(L731="Válido","Sim","Não")</f>
        <v/>
      </c>
      <c r="N731" s="2" t="inlineStr"/>
    </row>
    <row r="732">
      <c r="A732" s="2" t="inlineStr">
        <is>
          <t>5Bracos_R1101_150W_2026-09-24_16_25.csv</t>
        </is>
      </c>
      <c r="B732" s="2" t="inlineStr">
        <is>
          <t>150W_3500RPM_R1101</t>
        </is>
      </c>
      <c r="C732" s="2" t="n">
        <v>150</v>
      </c>
      <c r="D732" s="2" t="n">
        <v>3500</v>
      </c>
      <c r="E732" s="3">
        <f>D732*2/60</f>
        <v/>
      </c>
      <c r="F732" s="2" t="inlineStr">
        <is>
          <t>1101</t>
        </is>
      </c>
      <c r="G732" s="2" t="n">
        <v>5</v>
      </c>
      <c r="H732" s="2">
        <f>INDEX(Parametros!$B$2:$B$9,MATCH(G732,Parametros!$A$2:$A$9,0))</f>
        <v/>
      </c>
      <c r="I732" s="4">
        <f>1/(VALUE(MID(F732,1,1))/Parametros!$E$2+VALUE(MID(F732,2,1))/Parametros!$E$3+VALUE(MID(F732,3,1))/Parametros!$E$4+VALUE(MID(F732,4,1))/Parametros!$E$5)</f>
        <v/>
      </c>
      <c r="J732" s="5">
        <f>IF(G732=0,Parametros!$E$8,Parametros!$E$6+Parametros!$E$6*(Parametros!$E$7/G732+I732)/(Parametros!$E$6+Parametros!$E$7/G732+I732))</f>
        <v/>
      </c>
      <c r="K732" s="2" t="inlineStr">
        <is>
          <t>2026-09-24 16:25</t>
        </is>
      </c>
      <c r="L732" s="6" t="inlineStr">
        <is>
          <t>Válido</t>
        </is>
      </c>
      <c r="M732" s="2">
        <f>IF(L732="Válido","Sim","Não")</f>
        <v/>
      </c>
      <c r="N732" s="2" t="inlineStr"/>
    </row>
    <row r="733">
      <c r="A733" s="2" t="inlineStr">
        <is>
          <t>4Bracos_R1101_150W_2026-09-24_16_25.csv</t>
        </is>
      </c>
      <c r="B733" s="2" t="inlineStr">
        <is>
          <t>150W_3500RPM_R1101</t>
        </is>
      </c>
      <c r="C733" s="2" t="n">
        <v>150</v>
      </c>
      <c r="D733" s="2" t="n">
        <v>3500</v>
      </c>
      <c r="E733" s="3">
        <f>D733*2/60</f>
        <v/>
      </c>
      <c r="F733" s="2" t="inlineStr">
        <is>
          <t>1101</t>
        </is>
      </c>
      <c r="G733" s="2" t="n">
        <v>4</v>
      </c>
      <c r="H733" s="2">
        <f>INDEX(Parametros!$B$2:$B$9,MATCH(G733,Parametros!$A$2:$A$9,0))</f>
        <v/>
      </c>
      <c r="I733" s="4">
        <f>1/(VALUE(MID(F733,1,1))/Parametros!$E$2+VALUE(MID(F733,2,1))/Parametros!$E$3+VALUE(MID(F733,3,1))/Parametros!$E$4+VALUE(MID(F733,4,1))/Parametros!$E$5)</f>
        <v/>
      </c>
      <c r="J733" s="5">
        <f>IF(G733=0,Parametros!$E$8,Parametros!$E$6+Parametros!$E$6*(Parametros!$E$7/G733+I733)/(Parametros!$E$6+Parametros!$E$7/G733+I733))</f>
        <v/>
      </c>
      <c r="K733" s="2" t="inlineStr">
        <is>
          <t>2026-09-24 16:25</t>
        </is>
      </c>
      <c r="L733" s="6" t="inlineStr">
        <is>
          <t>Válido</t>
        </is>
      </c>
      <c r="M733" s="2">
        <f>IF(L733="Válido","Sim","Não")</f>
        <v/>
      </c>
      <c r="N733" s="2" t="inlineStr"/>
    </row>
    <row r="734">
      <c r="A734" s="2" t="inlineStr">
        <is>
          <t>3Bracos_R1101_150W_2026-09-24_16_25.csv</t>
        </is>
      </c>
      <c r="B734" s="2" t="inlineStr">
        <is>
          <t>150W_3500RPM_R1101</t>
        </is>
      </c>
      <c r="C734" s="2" t="n">
        <v>150</v>
      </c>
      <c r="D734" s="2" t="n">
        <v>3500</v>
      </c>
      <c r="E734" s="3">
        <f>D734*2/60</f>
        <v/>
      </c>
      <c r="F734" s="2" t="inlineStr">
        <is>
          <t>1101</t>
        </is>
      </c>
      <c r="G734" s="2" t="n">
        <v>3</v>
      </c>
      <c r="H734" s="2">
        <f>INDEX(Parametros!$B$2:$B$9,MATCH(G734,Parametros!$A$2:$A$9,0))</f>
        <v/>
      </c>
      <c r="I734" s="4">
        <f>1/(VALUE(MID(F734,1,1))/Parametros!$E$2+VALUE(MID(F734,2,1))/Parametros!$E$3+VALUE(MID(F734,3,1))/Parametros!$E$4+VALUE(MID(F734,4,1))/Parametros!$E$5)</f>
        <v/>
      </c>
      <c r="J734" s="5">
        <f>IF(G734=0,Parametros!$E$8,Parametros!$E$6+Parametros!$E$6*(Parametros!$E$7/G734+I734)/(Parametros!$E$6+Parametros!$E$7/G734+I734))</f>
        <v/>
      </c>
      <c r="K734" s="2" t="inlineStr">
        <is>
          <t>2026-09-24 16:25</t>
        </is>
      </c>
      <c r="L734" s="6" t="inlineStr">
        <is>
          <t>Válido</t>
        </is>
      </c>
      <c r="M734" s="2">
        <f>IF(L734="Válido","Sim","Não")</f>
        <v/>
      </c>
      <c r="N734" s="2" t="inlineStr"/>
    </row>
    <row r="735">
      <c r="A735" s="2" t="inlineStr">
        <is>
          <t>2Bracos_R1101_150W_2026-09-24_16_25.csv</t>
        </is>
      </c>
      <c r="B735" s="2" t="inlineStr">
        <is>
          <t>150W_3500RPM_R1101</t>
        </is>
      </c>
      <c r="C735" s="2" t="n">
        <v>150</v>
      </c>
      <c r="D735" s="2" t="n">
        <v>3500</v>
      </c>
      <c r="E735" s="3">
        <f>D735*2/60</f>
        <v/>
      </c>
      <c r="F735" s="2" t="inlineStr">
        <is>
          <t>1101</t>
        </is>
      </c>
      <c r="G735" s="2" t="n">
        <v>2</v>
      </c>
      <c r="H735" s="2">
        <f>INDEX(Parametros!$B$2:$B$9,MATCH(G735,Parametros!$A$2:$A$9,0))</f>
        <v/>
      </c>
      <c r="I735" s="4">
        <f>1/(VALUE(MID(F735,1,1))/Parametros!$E$2+VALUE(MID(F735,2,1))/Parametros!$E$3+VALUE(MID(F735,3,1))/Parametros!$E$4+VALUE(MID(F735,4,1))/Parametros!$E$5)</f>
        <v/>
      </c>
      <c r="J735" s="5">
        <f>IF(G735=0,Parametros!$E$8,Parametros!$E$6+Parametros!$E$6*(Parametros!$E$7/G735+I735)/(Parametros!$E$6+Parametros!$E$7/G735+I735))</f>
        <v/>
      </c>
      <c r="K735" s="2" t="inlineStr">
        <is>
          <t>2026-09-24 16:25</t>
        </is>
      </c>
      <c r="L735" s="6" t="inlineStr">
        <is>
          <t>Válido</t>
        </is>
      </c>
      <c r="M735" s="2">
        <f>IF(L735="Válido","Sim","Não")</f>
        <v/>
      </c>
      <c r="N735" s="2" t="inlineStr"/>
    </row>
    <row r="736">
      <c r="A736" s="2" t="inlineStr">
        <is>
          <t>1Bracos_R1101_150W_2026-09-24_16_25.csv</t>
        </is>
      </c>
      <c r="B736" s="2" t="inlineStr">
        <is>
          <t>150W_3500RPM_R1101</t>
        </is>
      </c>
      <c r="C736" s="2" t="n">
        <v>150</v>
      </c>
      <c r="D736" s="2" t="n">
        <v>3500</v>
      </c>
      <c r="E736" s="3">
        <f>D736*2/60</f>
        <v/>
      </c>
      <c r="F736" s="2" t="inlineStr">
        <is>
          <t>1101</t>
        </is>
      </c>
      <c r="G736" s="2" t="n">
        <v>1</v>
      </c>
      <c r="H736" s="2">
        <f>INDEX(Parametros!$B$2:$B$9,MATCH(G736,Parametros!$A$2:$A$9,0))</f>
        <v/>
      </c>
      <c r="I736" s="4">
        <f>1/(VALUE(MID(F736,1,1))/Parametros!$E$2+VALUE(MID(F736,2,1))/Parametros!$E$3+VALUE(MID(F736,3,1))/Parametros!$E$4+VALUE(MID(F736,4,1))/Parametros!$E$5)</f>
        <v/>
      </c>
      <c r="J736" s="5">
        <f>IF(G736=0,Parametros!$E$8,Parametros!$E$6+Parametros!$E$6*(Parametros!$E$7/G736+I736)/(Parametros!$E$6+Parametros!$E$7/G736+I736))</f>
        <v/>
      </c>
      <c r="K736" s="2" t="inlineStr">
        <is>
          <t>2026-09-24 16:25</t>
        </is>
      </c>
      <c r="L736" s="6" t="inlineStr">
        <is>
          <t>Válido</t>
        </is>
      </c>
      <c r="M736" s="2">
        <f>IF(L736="Válido","Sim","Não")</f>
        <v/>
      </c>
      <c r="N736" s="2" t="inlineStr"/>
    </row>
    <row r="737">
      <c r="A737" s="2" t="inlineStr">
        <is>
          <t>0Bracos_R1101_150W_2026-09-24_16_25.csv</t>
        </is>
      </c>
      <c r="B737" s="2" t="inlineStr">
        <is>
          <t>150W_3500RPM_R1101</t>
        </is>
      </c>
      <c r="C737" s="2" t="n">
        <v>150</v>
      </c>
      <c r="D737" s="2" t="n">
        <v>3500</v>
      </c>
      <c r="E737" s="3">
        <f>D737*2/60</f>
        <v/>
      </c>
      <c r="F737" s="2" t="inlineStr">
        <is>
          <t>1101</t>
        </is>
      </c>
      <c r="G737" s="2" t="n">
        <v>0</v>
      </c>
      <c r="H737" s="2">
        <f>INDEX(Parametros!$B$2:$B$9,MATCH(G737,Parametros!$A$2:$A$9,0))</f>
        <v/>
      </c>
      <c r="I737" s="4">
        <f>1/(VALUE(MID(F737,1,1))/Parametros!$E$2+VALUE(MID(F737,2,1))/Parametros!$E$3+VALUE(MID(F737,3,1))/Parametros!$E$4+VALUE(MID(F737,4,1))/Parametros!$E$5)</f>
        <v/>
      </c>
      <c r="J737" s="5">
        <f>IF(G737=0,Parametros!$E$8,Parametros!$E$6+Parametros!$E$6*(Parametros!$E$7/G737+I737)/(Parametros!$E$6+Parametros!$E$7/G737+I737))</f>
        <v/>
      </c>
      <c r="K737" s="2" t="inlineStr">
        <is>
          <t>2026-09-24 16:25</t>
        </is>
      </c>
      <c r="L737" s="6" t="inlineStr">
        <is>
          <t>Válido</t>
        </is>
      </c>
      <c r="M737" s="2">
        <f>IF(L737="Válido","Sim","Não")</f>
        <v/>
      </c>
      <c r="N737" s="2" t="inlineStr"/>
    </row>
    <row r="738">
      <c r="A738" s="2" t="inlineStr">
        <is>
          <t>7Bracos_R1110_150W_2026-09-24_16_25.csv</t>
        </is>
      </c>
      <c r="B738" s="2" t="inlineStr">
        <is>
          <t>150W_3500RPM_R1110</t>
        </is>
      </c>
      <c r="C738" s="2" t="n">
        <v>150</v>
      </c>
      <c r="D738" s="2" t="n">
        <v>3500</v>
      </c>
      <c r="E738" s="3">
        <f>D738*2/60</f>
        <v/>
      </c>
      <c r="F738" s="2" t="inlineStr">
        <is>
          <t>1110</t>
        </is>
      </c>
      <c r="G738" s="2" t="n">
        <v>7</v>
      </c>
      <c r="H738" s="2">
        <f>INDEX(Parametros!$B$2:$B$9,MATCH(G738,Parametros!$A$2:$A$9,0))</f>
        <v/>
      </c>
      <c r="I738" s="4">
        <f>1/(VALUE(MID(F738,1,1))/Parametros!$E$2+VALUE(MID(F738,2,1))/Parametros!$E$3+VALUE(MID(F738,3,1))/Parametros!$E$4+VALUE(MID(F738,4,1))/Parametros!$E$5)</f>
        <v/>
      </c>
      <c r="J738" s="5">
        <f>IF(G738=0,Parametros!$E$8,Parametros!$E$6+Parametros!$E$6*(Parametros!$E$7/G738+I738)/(Parametros!$E$6+Parametros!$E$7/G738+I738))</f>
        <v/>
      </c>
      <c r="K738" s="2" t="inlineStr">
        <is>
          <t>2026-09-24 16:25</t>
        </is>
      </c>
      <c r="L738" s="6" t="inlineStr">
        <is>
          <t>Válido</t>
        </is>
      </c>
      <c r="M738" s="2">
        <f>IF(L738="Válido","Sim","Não")</f>
        <v/>
      </c>
      <c r="N738" s="2" t="inlineStr"/>
    </row>
    <row r="739">
      <c r="A739" s="2" t="inlineStr">
        <is>
          <t>6Bracos_R1110_150W_2026-09-24_16_25.csv</t>
        </is>
      </c>
      <c r="B739" s="2" t="inlineStr">
        <is>
          <t>150W_3500RPM_R1110</t>
        </is>
      </c>
      <c r="C739" s="2" t="n">
        <v>150</v>
      </c>
      <c r="D739" s="2" t="n">
        <v>3500</v>
      </c>
      <c r="E739" s="3">
        <f>D739*2/60</f>
        <v/>
      </c>
      <c r="F739" s="2" t="inlineStr">
        <is>
          <t>1110</t>
        </is>
      </c>
      <c r="G739" s="2" t="n">
        <v>6</v>
      </c>
      <c r="H739" s="2">
        <f>INDEX(Parametros!$B$2:$B$9,MATCH(G739,Parametros!$A$2:$A$9,0))</f>
        <v/>
      </c>
      <c r="I739" s="4">
        <f>1/(VALUE(MID(F739,1,1))/Parametros!$E$2+VALUE(MID(F739,2,1))/Parametros!$E$3+VALUE(MID(F739,3,1))/Parametros!$E$4+VALUE(MID(F739,4,1))/Parametros!$E$5)</f>
        <v/>
      </c>
      <c r="J739" s="5">
        <f>IF(G739=0,Parametros!$E$8,Parametros!$E$6+Parametros!$E$6*(Parametros!$E$7/G739+I739)/(Parametros!$E$6+Parametros!$E$7/G739+I739))</f>
        <v/>
      </c>
      <c r="K739" s="2" t="inlineStr">
        <is>
          <t>2026-09-24 16:25</t>
        </is>
      </c>
      <c r="L739" s="6" t="inlineStr">
        <is>
          <t>Válido</t>
        </is>
      </c>
      <c r="M739" s="2">
        <f>IF(L739="Válido","Sim","Não")</f>
        <v/>
      </c>
      <c r="N739" s="2" t="inlineStr"/>
    </row>
    <row r="740">
      <c r="A740" s="2" t="inlineStr">
        <is>
          <t>5Bracos_R1110_150W_2026-09-24_16_25.csv</t>
        </is>
      </c>
      <c r="B740" s="2" t="inlineStr">
        <is>
          <t>150W_3500RPM_R1110</t>
        </is>
      </c>
      <c r="C740" s="2" t="n">
        <v>150</v>
      </c>
      <c r="D740" s="2" t="n">
        <v>3500</v>
      </c>
      <c r="E740" s="3">
        <f>D740*2/60</f>
        <v/>
      </c>
      <c r="F740" s="2" t="inlineStr">
        <is>
          <t>1110</t>
        </is>
      </c>
      <c r="G740" s="2" t="n">
        <v>5</v>
      </c>
      <c r="H740" s="2">
        <f>INDEX(Parametros!$B$2:$B$9,MATCH(G740,Parametros!$A$2:$A$9,0))</f>
        <v/>
      </c>
      <c r="I740" s="4">
        <f>1/(VALUE(MID(F740,1,1))/Parametros!$E$2+VALUE(MID(F740,2,1))/Parametros!$E$3+VALUE(MID(F740,3,1))/Parametros!$E$4+VALUE(MID(F740,4,1))/Parametros!$E$5)</f>
        <v/>
      </c>
      <c r="J740" s="5">
        <f>IF(G740=0,Parametros!$E$8,Parametros!$E$6+Parametros!$E$6*(Parametros!$E$7/G740+I740)/(Parametros!$E$6+Parametros!$E$7/G740+I740))</f>
        <v/>
      </c>
      <c r="K740" s="2" t="inlineStr">
        <is>
          <t>2026-09-24 16:25</t>
        </is>
      </c>
      <c r="L740" s="6" t="inlineStr">
        <is>
          <t>Válido</t>
        </is>
      </c>
      <c r="M740" s="2">
        <f>IF(L740="Válido","Sim","Não")</f>
        <v/>
      </c>
      <c r="N740" s="2" t="inlineStr"/>
    </row>
    <row r="741">
      <c r="A741" s="2" t="inlineStr">
        <is>
          <t>4Bracos_R1110_150W_2026-09-24_16_25.csv</t>
        </is>
      </c>
      <c r="B741" s="2" t="inlineStr">
        <is>
          <t>150W_3500RPM_R1110</t>
        </is>
      </c>
      <c r="C741" s="2" t="n">
        <v>150</v>
      </c>
      <c r="D741" s="2" t="n">
        <v>3500</v>
      </c>
      <c r="E741" s="3">
        <f>D741*2/60</f>
        <v/>
      </c>
      <c r="F741" s="2" t="inlineStr">
        <is>
          <t>1110</t>
        </is>
      </c>
      <c r="G741" s="2" t="n">
        <v>4</v>
      </c>
      <c r="H741" s="2">
        <f>INDEX(Parametros!$B$2:$B$9,MATCH(G741,Parametros!$A$2:$A$9,0))</f>
        <v/>
      </c>
      <c r="I741" s="4">
        <f>1/(VALUE(MID(F741,1,1))/Parametros!$E$2+VALUE(MID(F741,2,1))/Parametros!$E$3+VALUE(MID(F741,3,1))/Parametros!$E$4+VALUE(MID(F741,4,1))/Parametros!$E$5)</f>
        <v/>
      </c>
      <c r="J741" s="5">
        <f>IF(G741=0,Parametros!$E$8,Parametros!$E$6+Parametros!$E$6*(Parametros!$E$7/G741+I741)/(Parametros!$E$6+Parametros!$E$7/G741+I741))</f>
        <v/>
      </c>
      <c r="K741" s="2" t="inlineStr">
        <is>
          <t>2026-09-24 16:25</t>
        </is>
      </c>
      <c r="L741" s="6" t="inlineStr">
        <is>
          <t>Válido</t>
        </is>
      </c>
      <c r="M741" s="2">
        <f>IF(L741="Válido","Sim","Não")</f>
        <v/>
      </c>
      <c r="N741" s="2" t="inlineStr"/>
    </row>
    <row r="742">
      <c r="A742" s="2" t="inlineStr">
        <is>
          <t>3Bracos_R1110_150W_2026-09-24_16_25.csv</t>
        </is>
      </c>
      <c r="B742" s="2" t="inlineStr">
        <is>
          <t>150W_3500RPM_R1110</t>
        </is>
      </c>
      <c r="C742" s="2" t="n">
        <v>150</v>
      </c>
      <c r="D742" s="2" t="n">
        <v>3500</v>
      </c>
      <c r="E742" s="3">
        <f>D742*2/60</f>
        <v/>
      </c>
      <c r="F742" s="2" t="inlineStr">
        <is>
          <t>1110</t>
        </is>
      </c>
      <c r="G742" s="2" t="n">
        <v>3</v>
      </c>
      <c r="H742" s="2">
        <f>INDEX(Parametros!$B$2:$B$9,MATCH(G742,Parametros!$A$2:$A$9,0))</f>
        <v/>
      </c>
      <c r="I742" s="4">
        <f>1/(VALUE(MID(F742,1,1))/Parametros!$E$2+VALUE(MID(F742,2,1))/Parametros!$E$3+VALUE(MID(F742,3,1))/Parametros!$E$4+VALUE(MID(F742,4,1))/Parametros!$E$5)</f>
        <v/>
      </c>
      <c r="J742" s="5">
        <f>IF(G742=0,Parametros!$E$8,Parametros!$E$6+Parametros!$E$6*(Parametros!$E$7/G742+I742)/(Parametros!$E$6+Parametros!$E$7/G742+I742))</f>
        <v/>
      </c>
      <c r="K742" s="2" t="inlineStr">
        <is>
          <t>2026-09-24 16:25</t>
        </is>
      </c>
      <c r="L742" s="6" t="inlineStr">
        <is>
          <t>Válido</t>
        </is>
      </c>
      <c r="M742" s="2">
        <f>IF(L742="Válido","Sim","Não")</f>
        <v/>
      </c>
      <c r="N742" s="2" t="inlineStr"/>
    </row>
    <row r="743">
      <c r="A743" s="2" t="inlineStr">
        <is>
          <t>2Bracos_R1110_150W_2026-09-24_16_25.csv</t>
        </is>
      </c>
      <c r="B743" s="2" t="inlineStr">
        <is>
          <t>150W_3500RPM_R1110</t>
        </is>
      </c>
      <c r="C743" s="2" t="n">
        <v>150</v>
      </c>
      <c r="D743" s="2" t="n">
        <v>3500</v>
      </c>
      <c r="E743" s="3">
        <f>D743*2/60</f>
        <v/>
      </c>
      <c r="F743" s="2" t="inlineStr">
        <is>
          <t>1110</t>
        </is>
      </c>
      <c r="G743" s="2" t="n">
        <v>2</v>
      </c>
      <c r="H743" s="2">
        <f>INDEX(Parametros!$B$2:$B$9,MATCH(G743,Parametros!$A$2:$A$9,0))</f>
        <v/>
      </c>
      <c r="I743" s="4">
        <f>1/(VALUE(MID(F743,1,1))/Parametros!$E$2+VALUE(MID(F743,2,1))/Parametros!$E$3+VALUE(MID(F743,3,1))/Parametros!$E$4+VALUE(MID(F743,4,1))/Parametros!$E$5)</f>
        <v/>
      </c>
      <c r="J743" s="5">
        <f>IF(G743=0,Parametros!$E$8,Parametros!$E$6+Parametros!$E$6*(Parametros!$E$7/G743+I743)/(Parametros!$E$6+Parametros!$E$7/G743+I743))</f>
        <v/>
      </c>
      <c r="K743" s="2" t="inlineStr">
        <is>
          <t>2026-09-24 16:25</t>
        </is>
      </c>
      <c r="L743" s="6" t="inlineStr">
        <is>
          <t>Válido</t>
        </is>
      </c>
      <c r="M743" s="2">
        <f>IF(L743="Válido","Sim","Não")</f>
        <v/>
      </c>
      <c r="N743" s="2" t="inlineStr"/>
    </row>
    <row r="744">
      <c r="A744" s="2" t="inlineStr">
        <is>
          <t>1Bracos_R1110_150W_2026-09-24_16_25.csv</t>
        </is>
      </c>
      <c r="B744" s="2" t="inlineStr">
        <is>
          <t>150W_3500RPM_R1110</t>
        </is>
      </c>
      <c r="C744" s="2" t="n">
        <v>150</v>
      </c>
      <c r="D744" s="2" t="n">
        <v>3500</v>
      </c>
      <c r="E744" s="3">
        <f>D744*2/60</f>
        <v/>
      </c>
      <c r="F744" s="2" t="inlineStr">
        <is>
          <t>1110</t>
        </is>
      </c>
      <c r="G744" s="2" t="n">
        <v>1</v>
      </c>
      <c r="H744" s="2">
        <f>INDEX(Parametros!$B$2:$B$9,MATCH(G744,Parametros!$A$2:$A$9,0))</f>
        <v/>
      </c>
      <c r="I744" s="4">
        <f>1/(VALUE(MID(F744,1,1))/Parametros!$E$2+VALUE(MID(F744,2,1))/Parametros!$E$3+VALUE(MID(F744,3,1))/Parametros!$E$4+VALUE(MID(F744,4,1))/Parametros!$E$5)</f>
        <v/>
      </c>
      <c r="J744" s="5">
        <f>IF(G744=0,Parametros!$E$8,Parametros!$E$6+Parametros!$E$6*(Parametros!$E$7/G744+I744)/(Parametros!$E$6+Parametros!$E$7/G744+I744))</f>
        <v/>
      </c>
      <c r="K744" s="2" t="inlineStr">
        <is>
          <t>2026-09-24 16:25</t>
        </is>
      </c>
      <c r="L744" s="6" t="inlineStr">
        <is>
          <t>Válido</t>
        </is>
      </c>
      <c r="M744" s="2">
        <f>IF(L744="Válido","Sim","Não")</f>
        <v/>
      </c>
      <c r="N744" s="2" t="inlineStr"/>
    </row>
    <row r="745">
      <c r="A745" s="2" t="inlineStr">
        <is>
          <t>0Bracos_R1110_150W_2026-09-24_16_25.csv</t>
        </is>
      </c>
      <c r="B745" s="2" t="inlineStr">
        <is>
          <t>150W_3500RPM_R1110</t>
        </is>
      </c>
      <c r="C745" s="2" t="n">
        <v>150</v>
      </c>
      <c r="D745" s="2" t="n">
        <v>3500</v>
      </c>
      <c r="E745" s="3">
        <f>D745*2/60</f>
        <v/>
      </c>
      <c r="F745" s="2" t="inlineStr">
        <is>
          <t>1110</t>
        </is>
      </c>
      <c r="G745" s="2" t="n">
        <v>0</v>
      </c>
      <c r="H745" s="2">
        <f>INDEX(Parametros!$B$2:$B$9,MATCH(G745,Parametros!$A$2:$A$9,0))</f>
        <v/>
      </c>
      <c r="I745" s="4">
        <f>1/(VALUE(MID(F745,1,1))/Parametros!$E$2+VALUE(MID(F745,2,1))/Parametros!$E$3+VALUE(MID(F745,3,1))/Parametros!$E$4+VALUE(MID(F745,4,1))/Parametros!$E$5)</f>
        <v/>
      </c>
      <c r="J745" s="5">
        <f>IF(G745=0,Parametros!$E$8,Parametros!$E$6+Parametros!$E$6*(Parametros!$E$7/G745+I745)/(Parametros!$E$6+Parametros!$E$7/G745+I745))</f>
        <v/>
      </c>
      <c r="K745" s="2" t="inlineStr">
        <is>
          <t>2026-09-24 16:25</t>
        </is>
      </c>
      <c r="L745" s="6" t="inlineStr">
        <is>
          <t>Válido</t>
        </is>
      </c>
      <c r="M745" s="2">
        <f>IF(L745="Válido","Sim","Não")</f>
        <v/>
      </c>
      <c r="N745" s="2" t="inlineStr"/>
    </row>
    <row r="746">
      <c r="A746" s="2" t="inlineStr">
        <is>
          <t>7Bracos_R1111_150W_2026-09-24_16_25.csv</t>
        </is>
      </c>
      <c r="B746" s="2" t="inlineStr">
        <is>
          <t>150W_3500RPM_R1111</t>
        </is>
      </c>
      <c r="C746" s="2" t="n">
        <v>150</v>
      </c>
      <c r="D746" s="2" t="n">
        <v>3500</v>
      </c>
      <c r="E746" s="3">
        <f>D746*2/60</f>
        <v/>
      </c>
      <c r="F746" s="2" t="inlineStr">
        <is>
          <t>1111</t>
        </is>
      </c>
      <c r="G746" s="2" t="n">
        <v>7</v>
      </c>
      <c r="H746" s="2">
        <f>INDEX(Parametros!$B$2:$B$9,MATCH(G746,Parametros!$A$2:$A$9,0))</f>
        <v/>
      </c>
      <c r="I746" s="4">
        <f>1/(VALUE(MID(F746,1,1))/Parametros!$E$2+VALUE(MID(F746,2,1))/Parametros!$E$3+VALUE(MID(F746,3,1))/Parametros!$E$4+VALUE(MID(F746,4,1))/Parametros!$E$5)</f>
        <v/>
      </c>
      <c r="J746" s="5">
        <f>IF(G746=0,Parametros!$E$8,Parametros!$E$6+Parametros!$E$6*(Parametros!$E$7/G746+I746)/(Parametros!$E$6+Parametros!$E$7/G746+I746))</f>
        <v/>
      </c>
      <c r="K746" s="2" t="inlineStr">
        <is>
          <t>2026-09-24 16:25</t>
        </is>
      </c>
      <c r="L746" s="6" t="inlineStr">
        <is>
          <t>Válido</t>
        </is>
      </c>
      <c r="M746" s="2">
        <f>IF(L746="Válido","Sim","Não")</f>
        <v/>
      </c>
      <c r="N746" s="2" t="inlineStr"/>
    </row>
    <row r="747">
      <c r="A747" s="2" t="inlineStr">
        <is>
          <t>6Bracos_R1111_150W_2026-09-24_16_25.csv</t>
        </is>
      </c>
      <c r="B747" s="2" t="inlineStr">
        <is>
          <t>150W_3500RPM_R1111</t>
        </is>
      </c>
      <c r="C747" s="2" t="n">
        <v>150</v>
      </c>
      <c r="D747" s="2" t="n">
        <v>3500</v>
      </c>
      <c r="E747" s="3">
        <f>D747*2/60</f>
        <v/>
      </c>
      <c r="F747" s="2" t="inlineStr">
        <is>
          <t>1111</t>
        </is>
      </c>
      <c r="G747" s="2" t="n">
        <v>6</v>
      </c>
      <c r="H747" s="2">
        <f>INDEX(Parametros!$B$2:$B$9,MATCH(G747,Parametros!$A$2:$A$9,0))</f>
        <v/>
      </c>
      <c r="I747" s="4">
        <f>1/(VALUE(MID(F747,1,1))/Parametros!$E$2+VALUE(MID(F747,2,1))/Parametros!$E$3+VALUE(MID(F747,3,1))/Parametros!$E$4+VALUE(MID(F747,4,1))/Parametros!$E$5)</f>
        <v/>
      </c>
      <c r="J747" s="5">
        <f>IF(G747=0,Parametros!$E$8,Parametros!$E$6+Parametros!$E$6*(Parametros!$E$7/G747+I747)/(Parametros!$E$6+Parametros!$E$7/G747+I747))</f>
        <v/>
      </c>
      <c r="K747" s="2" t="inlineStr">
        <is>
          <t>2026-09-24 16:25</t>
        </is>
      </c>
      <c r="L747" s="6" t="inlineStr">
        <is>
          <t>Válido</t>
        </is>
      </c>
      <c r="M747" s="2">
        <f>IF(L747="Válido","Sim","Não")</f>
        <v/>
      </c>
      <c r="N747" s="2" t="inlineStr"/>
    </row>
    <row r="748">
      <c r="A748" s="2" t="inlineStr">
        <is>
          <t>5Bracos_R1111_150W_2026-09-24_16_25.csv</t>
        </is>
      </c>
      <c r="B748" s="2" t="inlineStr">
        <is>
          <t>150W_3500RPM_R1111</t>
        </is>
      </c>
      <c r="C748" s="2" t="n">
        <v>150</v>
      </c>
      <c r="D748" s="2" t="n">
        <v>3500</v>
      </c>
      <c r="E748" s="3">
        <f>D748*2/60</f>
        <v/>
      </c>
      <c r="F748" s="2" t="inlineStr">
        <is>
          <t>1111</t>
        </is>
      </c>
      <c r="G748" s="2" t="n">
        <v>5</v>
      </c>
      <c r="H748" s="2">
        <f>INDEX(Parametros!$B$2:$B$9,MATCH(G748,Parametros!$A$2:$A$9,0))</f>
        <v/>
      </c>
      <c r="I748" s="4">
        <f>1/(VALUE(MID(F748,1,1))/Parametros!$E$2+VALUE(MID(F748,2,1))/Parametros!$E$3+VALUE(MID(F748,3,1))/Parametros!$E$4+VALUE(MID(F748,4,1))/Parametros!$E$5)</f>
        <v/>
      </c>
      <c r="J748" s="5">
        <f>IF(G748=0,Parametros!$E$8,Parametros!$E$6+Parametros!$E$6*(Parametros!$E$7/G748+I748)/(Parametros!$E$6+Parametros!$E$7/G748+I748))</f>
        <v/>
      </c>
      <c r="K748" s="2" t="inlineStr">
        <is>
          <t>2026-09-24 16:25</t>
        </is>
      </c>
      <c r="L748" s="6" t="inlineStr">
        <is>
          <t>Válido</t>
        </is>
      </c>
      <c r="M748" s="2">
        <f>IF(L748="Válido","Sim","Não")</f>
        <v/>
      </c>
      <c r="N748" s="2" t="inlineStr"/>
    </row>
    <row r="749">
      <c r="A749" s="2" t="inlineStr">
        <is>
          <t>4Bracos_R1111_150W_2026-09-24_16_25.csv</t>
        </is>
      </c>
      <c r="B749" s="2" t="inlineStr">
        <is>
          <t>150W_3500RPM_R1111</t>
        </is>
      </c>
      <c r="C749" s="2" t="n">
        <v>150</v>
      </c>
      <c r="D749" s="2" t="n">
        <v>3500</v>
      </c>
      <c r="E749" s="3">
        <f>D749*2/60</f>
        <v/>
      </c>
      <c r="F749" s="2" t="inlineStr">
        <is>
          <t>1111</t>
        </is>
      </c>
      <c r="G749" s="2" t="n">
        <v>4</v>
      </c>
      <c r="H749" s="2">
        <f>INDEX(Parametros!$B$2:$B$9,MATCH(G749,Parametros!$A$2:$A$9,0))</f>
        <v/>
      </c>
      <c r="I749" s="4">
        <f>1/(VALUE(MID(F749,1,1))/Parametros!$E$2+VALUE(MID(F749,2,1))/Parametros!$E$3+VALUE(MID(F749,3,1))/Parametros!$E$4+VALUE(MID(F749,4,1))/Parametros!$E$5)</f>
        <v/>
      </c>
      <c r="J749" s="5">
        <f>IF(G749=0,Parametros!$E$8,Parametros!$E$6+Parametros!$E$6*(Parametros!$E$7/G749+I749)/(Parametros!$E$6+Parametros!$E$7/G749+I749))</f>
        <v/>
      </c>
      <c r="K749" s="2" t="inlineStr">
        <is>
          <t>2026-09-24 16:25</t>
        </is>
      </c>
      <c r="L749" s="6" t="inlineStr">
        <is>
          <t>Válido</t>
        </is>
      </c>
      <c r="M749" s="2">
        <f>IF(L749="Válido","Sim","Não")</f>
        <v/>
      </c>
      <c r="N749" s="2" t="inlineStr"/>
    </row>
    <row r="750">
      <c r="A750" s="2" t="inlineStr">
        <is>
          <t>3Bracos_R1111_150W_2026-09-24_16_25.csv</t>
        </is>
      </c>
      <c r="B750" s="2" t="inlineStr">
        <is>
          <t>150W_3500RPM_R1111</t>
        </is>
      </c>
      <c r="C750" s="2" t="n">
        <v>150</v>
      </c>
      <c r="D750" s="2" t="n">
        <v>3500</v>
      </c>
      <c r="E750" s="3">
        <f>D750*2/60</f>
        <v/>
      </c>
      <c r="F750" s="2" t="inlineStr">
        <is>
          <t>1111</t>
        </is>
      </c>
      <c r="G750" s="2" t="n">
        <v>3</v>
      </c>
      <c r="H750" s="2">
        <f>INDEX(Parametros!$B$2:$B$9,MATCH(G750,Parametros!$A$2:$A$9,0))</f>
        <v/>
      </c>
      <c r="I750" s="4">
        <f>1/(VALUE(MID(F750,1,1))/Parametros!$E$2+VALUE(MID(F750,2,1))/Parametros!$E$3+VALUE(MID(F750,3,1))/Parametros!$E$4+VALUE(MID(F750,4,1))/Parametros!$E$5)</f>
        <v/>
      </c>
      <c r="J750" s="5">
        <f>IF(G750=0,Parametros!$E$8,Parametros!$E$6+Parametros!$E$6*(Parametros!$E$7/G750+I750)/(Parametros!$E$6+Parametros!$E$7/G750+I750))</f>
        <v/>
      </c>
      <c r="K750" s="2" t="inlineStr">
        <is>
          <t>2026-09-24 16:25</t>
        </is>
      </c>
      <c r="L750" s="6" t="inlineStr">
        <is>
          <t>Válido</t>
        </is>
      </c>
      <c r="M750" s="2">
        <f>IF(L750="Válido","Sim","Não")</f>
        <v/>
      </c>
      <c r="N750" s="2" t="inlineStr"/>
    </row>
    <row r="751">
      <c r="A751" s="2" t="inlineStr">
        <is>
          <t>2Bracos_R1111_150W_2026-09-24_16_25.csv</t>
        </is>
      </c>
      <c r="B751" s="2" t="inlineStr">
        <is>
          <t>150W_3500RPM_R1111</t>
        </is>
      </c>
      <c r="C751" s="2" t="n">
        <v>150</v>
      </c>
      <c r="D751" s="2" t="n">
        <v>3500</v>
      </c>
      <c r="E751" s="3">
        <f>D751*2/60</f>
        <v/>
      </c>
      <c r="F751" s="2" t="inlineStr">
        <is>
          <t>1111</t>
        </is>
      </c>
      <c r="G751" s="2" t="n">
        <v>2</v>
      </c>
      <c r="H751" s="2">
        <f>INDEX(Parametros!$B$2:$B$9,MATCH(G751,Parametros!$A$2:$A$9,0))</f>
        <v/>
      </c>
      <c r="I751" s="4">
        <f>1/(VALUE(MID(F751,1,1))/Parametros!$E$2+VALUE(MID(F751,2,1))/Parametros!$E$3+VALUE(MID(F751,3,1))/Parametros!$E$4+VALUE(MID(F751,4,1))/Parametros!$E$5)</f>
        <v/>
      </c>
      <c r="J751" s="5">
        <f>IF(G751=0,Parametros!$E$8,Parametros!$E$6+Parametros!$E$6*(Parametros!$E$7/G751+I751)/(Parametros!$E$6+Parametros!$E$7/G751+I751))</f>
        <v/>
      </c>
      <c r="K751" s="2" t="inlineStr">
        <is>
          <t>2026-09-24 16:25</t>
        </is>
      </c>
      <c r="L751" s="6" t="inlineStr">
        <is>
          <t>Válido</t>
        </is>
      </c>
      <c r="M751" s="2">
        <f>IF(L751="Válido","Sim","Não")</f>
        <v/>
      </c>
      <c r="N751" s="2" t="inlineStr"/>
    </row>
    <row r="752">
      <c r="A752" s="2" t="inlineStr">
        <is>
          <t>1Bracos_R1111_150W_2026-09-24_16_25.csv</t>
        </is>
      </c>
      <c r="B752" s="2" t="inlineStr">
        <is>
          <t>150W_3500RPM_R1111</t>
        </is>
      </c>
      <c r="C752" s="2" t="n">
        <v>150</v>
      </c>
      <c r="D752" s="2" t="n">
        <v>3500</v>
      </c>
      <c r="E752" s="3">
        <f>D752*2/60</f>
        <v/>
      </c>
      <c r="F752" s="2" t="inlineStr">
        <is>
          <t>1111</t>
        </is>
      </c>
      <c r="G752" s="2" t="n">
        <v>1</v>
      </c>
      <c r="H752" s="2">
        <f>INDEX(Parametros!$B$2:$B$9,MATCH(G752,Parametros!$A$2:$A$9,0))</f>
        <v/>
      </c>
      <c r="I752" s="4">
        <f>1/(VALUE(MID(F752,1,1))/Parametros!$E$2+VALUE(MID(F752,2,1))/Parametros!$E$3+VALUE(MID(F752,3,1))/Parametros!$E$4+VALUE(MID(F752,4,1))/Parametros!$E$5)</f>
        <v/>
      </c>
      <c r="J752" s="5">
        <f>IF(G752=0,Parametros!$E$8,Parametros!$E$6+Parametros!$E$6*(Parametros!$E$7/G752+I752)/(Parametros!$E$6+Parametros!$E$7/G752+I752))</f>
        <v/>
      </c>
      <c r="K752" s="2" t="inlineStr">
        <is>
          <t>2026-09-24 16:25</t>
        </is>
      </c>
      <c r="L752" s="6" t="inlineStr">
        <is>
          <t>Válido</t>
        </is>
      </c>
      <c r="M752" s="2">
        <f>IF(L752="Válido","Sim","Não")</f>
        <v/>
      </c>
      <c r="N752" s="2" t="inlineStr"/>
    </row>
    <row r="753">
      <c r="A753" s="2" t="inlineStr">
        <is>
          <t>0Bracos_R1111_150W_2026-09-24_16_25.csv</t>
        </is>
      </c>
      <c r="B753" s="2" t="inlineStr">
        <is>
          <t>150W_3500RPM_R1111</t>
        </is>
      </c>
      <c r="C753" s="2" t="n">
        <v>150</v>
      </c>
      <c r="D753" s="2" t="n">
        <v>3500</v>
      </c>
      <c r="E753" s="3">
        <f>D753*2/60</f>
        <v/>
      </c>
      <c r="F753" s="2" t="inlineStr">
        <is>
          <t>1111</t>
        </is>
      </c>
      <c r="G753" s="2" t="n">
        <v>0</v>
      </c>
      <c r="H753" s="2">
        <f>INDEX(Parametros!$B$2:$B$9,MATCH(G753,Parametros!$A$2:$A$9,0))</f>
        <v/>
      </c>
      <c r="I753" s="4">
        <f>1/(VALUE(MID(F753,1,1))/Parametros!$E$2+VALUE(MID(F753,2,1))/Parametros!$E$3+VALUE(MID(F753,3,1))/Parametros!$E$4+VALUE(MID(F753,4,1))/Parametros!$E$5)</f>
        <v/>
      </c>
      <c r="J753" s="5">
        <f>IF(G753=0,Parametros!$E$8,Parametros!$E$6+Parametros!$E$6*(Parametros!$E$7/G753+I753)/(Parametros!$E$6+Parametros!$E$7/G753+I753))</f>
        <v/>
      </c>
      <c r="K753" s="2" t="inlineStr">
        <is>
          <t>2026-09-24 16:25</t>
        </is>
      </c>
      <c r="L753" s="6" t="inlineStr">
        <is>
          <t>Válido</t>
        </is>
      </c>
      <c r="M753" s="2">
        <f>IF(L753="Válido","Sim","Não")</f>
        <v/>
      </c>
      <c r="N753" s="2" t="inlineStr"/>
    </row>
    <row r="754">
      <c r="A754" s="2" t="inlineStr">
        <is>
          <t>7Bracos_2700_R0001_210W_2026-10-09_10_40.csv</t>
        </is>
      </c>
      <c r="B754" s="2" t="inlineStr">
        <is>
          <t>210W_2700RPM_R0001</t>
        </is>
      </c>
      <c r="C754" s="2" t="n">
        <v>210</v>
      </c>
      <c r="D754" s="2" t="n">
        <v>2700</v>
      </c>
      <c r="E754" s="3">
        <f>D754*2/60</f>
        <v/>
      </c>
      <c r="F754" s="2" t="inlineStr">
        <is>
          <t>0001</t>
        </is>
      </c>
      <c r="G754" s="2" t="n">
        <v>7</v>
      </c>
      <c r="H754" s="2">
        <f>INDEX(Parametros!$B$2:$B$9,MATCH(G754,Parametros!$A$2:$A$9,0))</f>
        <v/>
      </c>
      <c r="I754" s="4">
        <f>1/(VALUE(MID(F754,1,1))/Parametros!$E$2+VALUE(MID(F754,2,1))/Parametros!$E$3+VALUE(MID(F754,3,1))/Parametros!$E$4+VALUE(MID(F754,4,1))/Parametros!$E$5)</f>
        <v/>
      </c>
      <c r="J754" s="5">
        <f>IF(G754=0,Parametros!$E$8,Parametros!$E$6+Parametros!$E$6*(Parametros!$E$7/G754+I754)/(Parametros!$E$6+Parametros!$E$7/G754+I754))</f>
        <v/>
      </c>
      <c r="K754" s="2" t="inlineStr">
        <is>
          <t>2026-10-09 10:40</t>
        </is>
      </c>
      <c r="L754" s="6" t="inlineStr">
        <is>
          <t>Válido</t>
        </is>
      </c>
      <c r="M754" s="2">
        <f>IF(L754="Válido","Sim","Não")</f>
        <v/>
      </c>
      <c r="N754" s="2" t="inlineStr"/>
    </row>
    <row r="755">
      <c r="A755" s="2" t="inlineStr">
        <is>
          <t>6Bracos_2700_R0001_210W_2026-10-09_10_40.csv</t>
        </is>
      </c>
      <c r="B755" s="2" t="inlineStr">
        <is>
          <t>210W_2700RPM_R0001</t>
        </is>
      </c>
      <c r="C755" s="2" t="n">
        <v>210</v>
      </c>
      <c r="D755" s="2" t="n">
        <v>2700</v>
      </c>
      <c r="E755" s="3">
        <f>D755*2/60</f>
        <v/>
      </c>
      <c r="F755" s="2" t="inlineStr">
        <is>
          <t>0001</t>
        </is>
      </c>
      <c r="G755" s="2" t="n">
        <v>6</v>
      </c>
      <c r="H755" s="2">
        <f>INDEX(Parametros!$B$2:$B$9,MATCH(G755,Parametros!$A$2:$A$9,0))</f>
        <v/>
      </c>
      <c r="I755" s="4">
        <f>1/(VALUE(MID(F755,1,1))/Parametros!$E$2+VALUE(MID(F755,2,1))/Parametros!$E$3+VALUE(MID(F755,3,1))/Parametros!$E$4+VALUE(MID(F755,4,1))/Parametros!$E$5)</f>
        <v/>
      </c>
      <c r="J755" s="5">
        <f>IF(G755=0,Parametros!$E$8,Parametros!$E$6+Parametros!$E$6*(Parametros!$E$7/G755+I755)/(Parametros!$E$6+Parametros!$E$7/G755+I755))</f>
        <v/>
      </c>
      <c r="K755" s="2" t="inlineStr">
        <is>
          <t>2026-10-09 10:40</t>
        </is>
      </c>
      <c r="L755" s="6" t="inlineStr">
        <is>
          <t>Válido</t>
        </is>
      </c>
      <c r="M755" s="2">
        <f>IF(L755="Válido","Sim","Não")</f>
        <v/>
      </c>
      <c r="N755" s="2" t="inlineStr"/>
    </row>
    <row r="756">
      <c r="A756" s="2" t="inlineStr">
        <is>
          <t>5Bracos_2700_R0001_210W_2026-10-09_10_40.csv</t>
        </is>
      </c>
      <c r="B756" s="2" t="inlineStr">
        <is>
          <t>210W_2700RPM_R0001</t>
        </is>
      </c>
      <c r="C756" s="2" t="n">
        <v>210</v>
      </c>
      <c r="D756" s="2" t="n">
        <v>2700</v>
      </c>
      <c r="E756" s="3">
        <f>D756*2/60</f>
        <v/>
      </c>
      <c r="F756" s="2" t="inlineStr">
        <is>
          <t>0001</t>
        </is>
      </c>
      <c r="G756" s="2" t="n">
        <v>5</v>
      </c>
      <c r="H756" s="2">
        <f>INDEX(Parametros!$B$2:$B$9,MATCH(G756,Parametros!$A$2:$A$9,0))</f>
        <v/>
      </c>
      <c r="I756" s="4">
        <f>1/(VALUE(MID(F756,1,1))/Parametros!$E$2+VALUE(MID(F756,2,1))/Parametros!$E$3+VALUE(MID(F756,3,1))/Parametros!$E$4+VALUE(MID(F756,4,1))/Parametros!$E$5)</f>
        <v/>
      </c>
      <c r="J756" s="5">
        <f>IF(G756=0,Parametros!$E$8,Parametros!$E$6+Parametros!$E$6*(Parametros!$E$7/G756+I756)/(Parametros!$E$6+Parametros!$E$7/G756+I756))</f>
        <v/>
      </c>
      <c r="K756" s="2" t="inlineStr">
        <is>
          <t>2026-10-09 10:40</t>
        </is>
      </c>
      <c r="L756" s="6" t="inlineStr">
        <is>
          <t>Válido</t>
        </is>
      </c>
      <c r="M756" s="2">
        <f>IF(L756="Válido","Sim","Não")</f>
        <v/>
      </c>
      <c r="N756" s="2" t="inlineStr"/>
    </row>
    <row r="757">
      <c r="A757" s="2" t="inlineStr">
        <is>
          <t>4Bracos_2700_R0001_210W_2026-10-09_10_40.csv</t>
        </is>
      </c>
      <c r="B757" s="2" t="inlineStr">
        <is>
          <t>210W_2700RPM_R0001</t>
        </is>
      </c>
      <c r="C757" s="2" t="n">
        <v>210</v>
      </c>
      <c r="D757" s="2" t="n">
        <v>2700</v>
      </c>
      <c r="E757" s="3">
        <f>D757*2/60</f>
        <v/>
      </c>
      <c r="F757" s="2" t="inlineStr">
        <is>
          <t>0001</t>
        </is>
      </c>
      <c r="G757" s="2" t="n">
        <v>4</v>
      </c>
      <c r="H757" s="2">
        <f>INDEX(Parametros!$B$2:$B$9,MATCH(G757,Parametros!$A$2:$A$9,0))</f>
        <v/>
      </c>
      <c r="I757" s="4">
        <f>1/(VALUE(MID(F757,1,1))/Parametros!$E$2+VALUE(MID(F757,2,1))/Parametros!$E$3+VALUE(MID(F757,3,1))/Parametros!$E$4+VALUE(MID(F757,4,1))/Parametros!$E$5)</f>
        <v/>
      </c>
      <c r="J757" s="5">
        <f>IF(G757=0,Parametros!$E$8,Parametros!$E$6+Parametros!$E$6*(Parametros!$E$7/G757+I757)/(Parametros!$E$6+Parametros!$E$7/G757+I757))</f>
        <v/>
      </c>
      <c r="K757" s="2" t="inlineStr">
        <is>
          <t>2026-10-09 10:40</t>
        </is>
      </c>
      <c r="L757" s="6" t="inlineStr">
        <is>
          <t>Válido</t>
        </is>
      </c>
      <c r="M757" s="2">
        <f>IF(L757="Válido","Sim","Não")</f>
        <v/>
      </c>
      <c r="N757" s="2" t="inlineStr"/>
    </row>
    <row r="758">
      <c r="A758" s="2" t="inlineStr">
        <is>
          <t>3Bracos_2700_R0001_210W_2026-10-09_10_40.csv</t>
        </is>
      </c>
      <c r="B758" s="2" t="inlineStr">
        <is>
          <t>210W_2700RPM_R0001</t>
        </is>
      </c>
      <c r="C758" s="2" t="n">
        <v>210</v>
      </c>
      <c r="D758" s="2" t="n">
        <v>2700</v>
      </c>
      <c r="E758" s="3">
        <f>D758*2/60</f>
        <v/>
      </c>
      <c r="F758" s="2" t="inlineStr">
        <is>
          <t>0001</t>
        </is>
      </c>
      <c r="G758" s="2" t="n">
        <v>3</v>
      </c>
      <c r="H758" s="2">
        <f>INDEX(Parametros!$B$2:$B$9,MATCH(G758,Parametros!$A$2:$A$9,0))</f>
        <v/>
      </c>
      <c r="I758" s="4">
        <f>1/(VALUE(MID(F758,1,1))/Parametros!$E$2+VALUE(MID(F758,2,1))/Parametros!$E$3+VALUE(MID(F758,3,1))/Parametros!$E$4+VALUE(MID(F758,4,1))/Parametros!$E$5)</f>
        <v/>
      </c>
      <c r="J758" s="5">
        <f>IF(G758=0,Parametros!$E$8,Parametros!$E$6+Parametros!$E$6*(Parametros!$E$7/G758+I758)/(Parametros!$E$6+Parametros!$E$7/G758+I758))</f>
        <v/>
      </c>
      <c r="K758" s="2" t="inlineStr">
        <is>
          <t>2026-10-09 10:40</t>
        </is>
      </c>
      <c r="L758" s="6" t="inlineStr">
        <is>
          <t>Válido</t>
        </is>
      </c>
      <c r="M758" s="2">
        <f>IF(L758="Válido","Sim","Não")</f>
        <v/>
      </c>
      <c r="N758" s="2" t="inlineStr"/>
    </row>
    <row r="759">
      <c r="A759" s="2" t="inlineStr">
        <is>
          <t>2Bracos_2700_R0001_210W_2026-10-09_10_40.csv</t>
        </is>
      </c>
      <c r="B759" s="2" t="inlineStr">
        <is>
          <t>210W_2700RPM_R0001</t>
        </is>
      </c>
      <c r="C759" s="2" t="n">
        <v>210</v>
      </c>
      <c r="D759" s="2" t="n">
        <v>2700</v>
      </c>
      <c r="E759" s="3">
        <f>D759*2/60</f>
        <v/>
      </c>
      <c r="F759" s="2" t="inlineStr">
        <is>
          <t>0001</t>
        </is>
      </c>
      <c r="G759" s="2" t="n">
        <v>2</v>
      </c>
      <c r="H759" s="2">
        <f>INDEX(Parametros!$B$2:$B$9,MATCH(G759,Parametros!$A$2:$A$9,0))</f>
        <v/>
      </c>
      <c r="I759" s="4">
        <f>1/(VALUE(MID(F759,1,1))/Parametros!$E$2+VALUE(MID(F759,2,1))/Parametros!$E$3+VALUE(MID(F759,3,1))/Parametros!$E$4+VALUE(MID(F759,4,1))/Parametros!$E$5)</f>
        <v/>
      </c>
      <c r="J759" s="5">
        <f>IF(G759=0,Parametros!$E$8,Parametros!$E$6+Parametros!$E$6*(Parametros!$E$7/G759+I759)/(Parametros!$E$6+Parametros!$E$7/G759+I759))</f>
        <v/>
      </c>
      <c r="K759" s="2" t="inlineStr">
        <is>
          <t>2026-10-09 10:40</t>
        </is>
      </c>
      <c r="L759" s="6" t="inlineStr">
        <is>
          <t>Válido</t>
        </is>
      </c>
      <c r="M759" s="2">
        <f>IF(L759="Válido","Sim","Não")</f>
        <v/>
      </c>
      <c r="N759" s="2" t="inlineStr"/>
    </row>
    <row r="760">
      <c r="A760" s="2" t="inlineStr">
        <is>
          <t>1Bracos_2700_R0001_210W_2026-10-09_10_40.csv</t>
        </is>
      </c>
      <c r="B760" s="2" t="inlineStr">
        <is>
          <t>210W_2700RPM_R0001</t>
        </is>
      </c>
      <c r="C760" s="2" t="n">
        <v>210</v>
      </c>
      <c r="D760" s="2" t="n">
        <v>2700</v>
      </c>
      <c r="E760" s="3">
        <f>D760*2/60</f>
        <v/>
      </c>
      <c r="F760" s="2" t="inlineStr">
        <is>
          <t>0001</t>
        </is>
      </c>
      <c r="G760" s="2" t="n">
        <v>1</v>
      </c>
      <c r="H760" s="2">
        <f>INDEX(Parametros!$B$2:$B$9,MATCH(G760,Parametros!$A$2:$A$9,0))</f>
        <v/>
      </c>
      <c r="I760" s="4">
        <f>1/(VALUE(MID(F760,1,1))/Parametros!$E$2+VALUE(MID(F760,2,1))/Parametros!$E$3+VALUE(MID(F760,3,1))/Parametros!$E$4+VALUE(MID(F760,4,1))/Parametros!$E$5)</f>
        <v/>
      </c>
      <c r="J760" s="5">
        <f>IF(G760=0,Parametros!$E$8,Parametros!$E$6+Parametros!$E$6*(Parametros!$E$7/G760+I760)/(Parametros!$E$6+Parametros!$E$7/G760+I760))</f>
        <v/>
      </c>
      <c r="K760" s="2" t="inlineStr">
        <is>
          <t>2026-10-09 10:40</t>
        </is>
      </c>
      <c r="L760" s="6" t="inlineStr">
        <is>
          <t>Válido</t>
        </is>
      </c>
      <c r="M760" s="2">
        <f>IF(L760="Válido","Sim","Não")</f>
        <v/>
      </c>
      <c r="N760" s="2" t="inlineStr"/>
    </row>
    <row r="761">
      <c r="A761" s="2" t="inlineStr">
        <is>
          <t>0Bracos_2700_R0001_210W_2026-10-09_10_40.csv</t>
        </is>
      </c>
      <c r="B761" s="2" t="inlineStr">
        <is>
          <t>210W_2700RPM_R0001</t>
        </is>
      </c>
      <c r="C761" s="2" t="n">
        <v>210</v>
      </c>
      <c r="D761" s="2" t="n">
        <v>2700</v>
      </c>
      <c r="E761" s="3">
        <f>D761*2/60</f>
        <v/>
      </c>
      <c r="F761" s="2" t="inlineStr">
        <is>
          <t>0001</t>
        </is>
      </c>
      <c r="G761" s="2" t="n">
        <v>0</v>
      </c>
      <c r="H761" s="2">
        <f>INDEX(Parametros!$B$2:$B$9,MATCH(G761,Parametros!$A$2:$A$9,0))</f>
        <v/>
      </c>
      <c r="I761" s="4">
        <f>1/(VALUE(MID(F761,1,1))/Parametros!$E$2+VALUE(MID(F761,2,1))/Parametros!$E$3+VALUE(MID(F761,3,1))/Parametros!$E$4+VALUE(MID(F761,4,1))/Parametros!$E$5)</f>
        <v/>
      </c>
      <c r="J761" s="5">
        <f>IF(G761=0,Parametros!$E$8,Parametros!$E$6+Parametros!$E$6*(Parametros!$E$7/G761+I761)/(Parametros!$E$6+Parametros!$E$7/G761+I761))</f>
        <v/>
      </c>
      <c r="K761" s="2" t="inlineStr">
        <is>
          <t>2026-10-09 10:40</t>
        </is>
      </c>
      <c r="L761" s="6" t="inlineStr">
        <is>
          <t>Válido</t>
        </is>
      </c>
      <c r="M761" s="2">
        <f>IF(L761="Válido","Sim","Não")</f>
        <v/>
      </c>
      <c r="N761" s="2" t="inlineStr"/>
    </row>
    <row r="762">
      <c r="A762" s="2" t="inlineStr">
        <is>
          <t>7Bracos_2700_R0010_210W_2026-10-09_10_40.csv</t>
        </is>
      </c>
      <c r="B762" s="2" t="inlineStr">
        <is>
          <t>210W_2700RPM_R0010</t>
        </is>
      </c>
      <c r="C762" s="2" t="n">
        <v>210</v>
      </c>
      <c r="D762" s="2" t="n">
        <v>2700</v>
      </c>
      <c r="E762" s="3">
        <f>D762*2/60</f>
        <v/>
      </c>
      <c r="F762" s="2" t="inlineStr">
        <is>
          <t>0010</t>
        </is>
      </c>
      <c r="G762" s="2" t="n">
        <v>7</v>
      </c>
      <c r="H762" s="2">
        <f>INDEX(Parametros!$B$2:$B$9,MATCH(G762,Parametros!$A$2:$A$9,0))</f>
        <v/>
      </c>
      <c r="I762" s="4">
        <f>1/(VALUE(MID(F762,1,1))/Parametros!$E$2+VALUE(MID(F762,2,1))/Parametros!$E$3+VALUE(MID(F762,3,1))/Parametros!$E$4+VALUE(MID(F762,4,1))/Parametros!$E$5)</f>
        <v/>
      </c>
      <c r="J762" s="5">
        <f>IF(G762=0,Parametros!$E$8,Parametros!$E$6+Parametros!$E$6*(Parametros!$E$7/G762+I762)/(Parametros!$E$6+Parametros!$E$7/G762+I762))</f>
        <v/>
      </c>
      <c r="K762" s="2" t="inlineStr">
        <is>
          <t>2026-10-09 10:40</t>
        </is>
      </c>
      <c r="L762" s="6" t="inlineStr">
        <is>
          <t>Válido</t>
        </is>
      </c>
      <c r="M762" s="2">
        <f>IF(L762="Válido","Sim","Não")</f>
        <v/>
      </c>
      <c r="N762" s="2" t="inlineStr"/>
    </row>
    <row r="763">
      <c r="A763" s="2" t="inlineStr">
        <is>
          <t>6Bracos_2700_R0010_210W_2026-10-09_10_40.csv</t>
        </is>
      </c>
      <c r="B763" s="2" t="inlineStr">
        <is>
          <t>210W_2700RPM_R0010</t>
        </is>
      </c>
      <c r="C763" s="2" t="n">
        <v>210</v>
      </c>
      <c r="D763" s="2" t="n">
        <v>2700</v>
      </c>
      <c r="E763" s="3">
        <f>D763*2/60</f>
        <v/>
      </c>
      <c r="F763" s="2" t="inlineStr">
        <is>
          <t>0010</t>
        </is>
      </c>
      <c r="G763" s="2" t="n">
        <v>6</v>
      </c>
      <c r="H763" s="2">
        <f>INDEX(Parametros!$B$2:$B$9,MATCH(G763,Parametros!$A$2:$A$9,0))</f>
        <v/>
      </c>
      <c r="I763" s="4">
        <f>1/(VALUE(MID(F763,1,1))/Parametros!$E$2+VALUE(MID(F763,2,1))/Parametros!$E$3+VALUE(MID(F763,3,1))/Parametros!$E$4+VALUE(MID(F763,4,1))/Parametros!$E$5)</f>
        <v/>
      </c>
      <c r="J763" s="5">
        <f>IF(G763=0,Parametros!$E$8,Parametros!$E$6+Parametros!$E$6*(Parametros!$E$7/G763+I763)/(Parametros!$E$6+Parametros!$E$7/G763+I763))</f>
        <v/>
      </c>
      <c r="K763" s="2" t="inlineStr">
        <is>
          <t>2026-10-09 10:40</t>
        </is>
      </c>
      <c r="L763" s="6" t="inlineStr">
        <is>
          <t>Válido</t>
        </is>
      </c>
      <c r="M763" s="2">
        <f>IF(L763="Válido","Sim","Não")</f>
        <v/>
      </c>
      <c r="N763" s="2" t="inlineStr"/>
    </row>
    <row r="764">
      <c r="A764" s="2" t="inlineStr">
        <is>
          <t>5Bracos_2700_R0010_210W_2026-10-09_10_40.csv</t>
        </is>
      </c>
      <c r="B764" s="2" t="inlineStr">
        <is>
          <t>210W_2700RPM_R0010</t>
        </is>
      </c>
      <c r="C764" s="2" t="n">
        <v>210</v>
      </c>
      <c r="D764" s="2" t="n">
        <v>2700</v>
      </c>
      <c r="E764" s="3">
        <f>D764*2/60</f>
        <v/>
      </c>
      <c r="F764" s="2" t="inlineStr">
        <is>
          <t>0010</t>
        </is>
      </c>
      <c r="G764" s="2" t="n">
        <v>5</v>
      </c>
      <c r="H764" s="2">
        <f>INDEX(Parametros!$B$2:$B$9,MATCH(G764,Parametros!$A$2:$A$9,0))</f>
        <v/>
      </c>
      <c r="I764" s="4">
        <f>1/(VALUE(MID(F764,1,1))/Parametros!$E$2+VALUE(MID(F764,2,1))/Parametros!$E$3+VALUE(MID(F764,3,1))/Parametros!$E$4+VALUE(MID(F764,4,1))/Parametros!$E$5)</f>
        <v/>
      </c>
      <c r="J764" s="5">
        <f>IF(G764=0,Parametros!$E$8,Parametros!$E$6+Parametros!$E$6*(Parametros!$E$7/G764+I764)/(Parametros!$E$6+Parametros!$E$7/G764+I764))</f>
        <v/>
      </c>
      <c r="K764" s="2" t="inlineStr">
        <is>
          <t>2026-10-09 10:40</t>
        </is>
      </c>
      <c r="L764" s="6" t="inlineStr">
        <is>
          <t>Válido</t>
        </is>
      </c>
      <c r="M764" s="2">
        <f>IF(L764="Válido","Sim","Não")</f>
        <v/>
      </c>
      <c r="N764" s="2" t="inlineStr"/>
    </row>
    <row r="765">
      <c r="A765" s="2" t="inlineStr">
        <is>
          <t>4Bracos_2700_R0010_210W_2026-10-09_10_40.csv</t>
        </is>
      </c>
      <c r="B765" s="2" t="inlineStr">
        <is>
          <t>210W_2700RPM_R0010</t>
        </is>
      </c>
      <c r="C765" s="2" t="n">
        <v>210</v>
      </c>
      <c r="D765" s="2" t="n">
        <v>2700</v>
      </c>
      <c r="E765" s="3">
        <f>D765*2/60</f>
        <v/>
      </c>
      <c r="F765" s="2" t="inlineStr">
        <is>
          <t>0010</t>
        </is>
      </c>
      <c r="G765" s="2" t="n">
        <v>4</v>
      </c>
      <c r="H765" s="2">
        <f>INDEX(Parametros!$B$2:$B$9,MATCH(G765,Parametros!$A$2:$A$9,0))</f>
        <v/>
      </c>
      <c r="I765" s="4">
        <f>1/(VALUE(MID(F765,1,1))/Parametros!$E$2+VALUE(MID(F765,2,1))/Parametros!$E$3+VALUE(MID(F765,3,1))/Parametros!$E$4+VALUE(MID(F765,4,1))/Parametros!$E$5)</f>
        <v/>
      </c>
      <c r="J765" s="5">
        <f>IF(G765=0,Parametros!$E$8,Parametros!$E$6+Parametros!$E$6*(Parametros!$E$7/G765+I765)/(Parametros!$E$6+Parametros!$E$7/G765+I765))</f>
        <v/>
      </c>
      <c r="K765" s="2" t="inlineStr">
        <is>
          <t>2026-10-09 10:40</t>
        </is>
      </c>
      <c r="L765" s="6" t="inlineStr">
        <is>
          <t>Válido</t>
        </is>
      </c>
      <c r="M765" s="2">
        <f>IF(L765="Válido","Sim","Não")</f>
        <v/>
      </c>
      <c r="N765" s="2" t="inlineStr"/>
    </row>
    <row r="766">
      <c r="A766" s="2" t="inlineStr">
        <is>
          <t>3Bracos_2700_R0010_210W_2026-10-09_10_40.csv</t>
        </is>
      </c>
      <c r="B766" s="2" t="inlineStr">
        <is>
          <t>210W_2700RPM_R0010</t>
        </is>
      </c>
      <c r="C766" s="2" t="n">
        <v>210</v>
      </c>
      <c r="D766" s="2" t="n">
        <v>2700</v>
      </c>
      <c r="E766" s="3">
        <f>D766*2/60</f>
        <v/>
      </c>
      <c r="F766" s="2" t="inlineStr">
        <is>
          <t>0010</t>
        </is>
      </c>
      <c r="G766" s="2" t="n">
        <v>3</v>
      </c>
      <c r="H766" s="2">
        <f>INDEX(Parametros!$B$2:$B$9,MATCH(G766,Parametros!$A$2:$A$9,0))</f>
        <v/>
      </c>
      <c r="I766" s="4">
        <f>1/(VALUE(MID(F766,1,1))/Parametros!$E$2+VALUE(MID(F766,2,1))/Parametros!$E$3+VALUE(MID(F766,3,1))/Parametros!$E$4+VALUE(MID(F766,4,1))/Parametros!$E$5)</f>
        <v/>
      </c>
      <c r="J766" s="5">
        <f>IF(G766=0,Parametros!$E$8,Parametros!$E$6+Parametros!$E$6*(Parametros!$E$7/G766+I766)/(Parametros!$E$6+Parametros!$E$7/G766+I766))</f>
        <v/>
      </c>
      <c r="K766" s="2" t="inlineStr">
        <is>
          <t>2026-10-09 10:40</t>
        </is>
      </c>
      <c r="L766" s="6" t="inlineStr">
        <is>
          <t>Válido</t>
        </is>
      </c>
      <c r="M766" s="2">
        <f>IF(L766="Válido","Sim","Não")</f>
        <v/>
      </c>
      <c r="N766" s="2" t="inlineStr"/>
    </row>
    <row r="767">
      <c r="A767" s="2" t="inlineStr">
        <is>
          <t>2Bracos_2700_R0010_210W_2026-10-09_10_40.csv</t>
        </is>
      </c>
      <c r="B767" s="2" t="inlineStr">
        <is>
          <t>210W_2700RPM_R0010</t>
        </is>
      </c>
      <c r="C767" s="2" t="n">
        <v>210</v>
      </c>
      <c r="D767" s="2" t="n">
        <v>2700</v>
      </c>
      <c r="E767" s="3">
        <f>D767*2/60</f>
        <v/>
      </c>
      <c r="F767" s="2" t="inlineStr">
        <is>
          <t>0010</t>
        </is>
      </c>
      <c r="G767" s="2" t="n">
        <v>2</v>
      </c>
      <c r="H767" s="2">
        <f>INDEX(Parametros!$B$2:$B$9,MATCH(G767,Parametros!$A$2:$A$9,0))</f>
        <v/>
      </c>
      <c r="I767" s="4">
        <f>1/(VALUE(MID(F767,1,1))/Parametros!$E$2+VALUE(MID(F767,2,1))/Parametros!$E$3+VALUE(MID(F767,3,1))/Parametros!$E$4+VALUE(MID(F767,4,1))/Parametros!$E$5)</f>
        <v/>
      </c>
      <c r="J767" s="5">
        <f>IF(G767=0,Parametros!$E$8,Parametros!$E$6+Parametros!$E$6*(Parametros!$E$7/G767+I767)/(Parametros!$E$6+Parametros!$E$7/G767+I767))</f>
        <v/>
      </c>
      <c r="K767" s="2" t="inlineStr">
        <is>
          <t>2026-10-09 10:40</t>
        </is>
      </c>
      <c r="L767" s="6" t="inlineStr">
        <is>
          <t>Válido</t>
        </is>
      </c>
      <c r="M767" s="2">
        <f>IF(L767="Válido","Sim","Não")</f>
        <v/>
      </c>
      <c r="N767" s="2" t="inlineStr"/>
    </row>
    <row r="768">
      <c r="A768" s="2" t="inlineStr">
        <is>
          <t>1Bracos_2700_R0010_210W_2026-10-09_10_40.csv</t>
        </is>
      </c>
      <c r="B768" s="2" t="inlineStr">
        <is>
          <t>210W_2700RPM_R0010</t>
        </is>
      </c>
      <c r="C768" s="2" t="n">
        <v>210</v>
      </c>
      <c r="D768" s="2" t="n">
        <v>2700</v>
      </c>
      <c r="E768" s="3">
        <f>D768*2/60</f>
        <v/>
      </c>
      <c r="F768" s="2" t="inlineStr">
        <is>
          <t>0010</t>
        </is>
      </c>
      <c r="G768" s="2" t="n">
        <v>1</v>
      </c>
      <c r="H768" s="2">
        <f>INDEX(Parametros!$B$2:$B$9,MATCH(G768,Parametros!$A$2:$A$9,0))</f>
        <v/>
      </c>
      <c r="I768" s="4">
        <f>1/(VALUE(MID(F768,1,1))/Parametros!$E$2+VALUE(MID(F768,2,1))/Parametros!$E$3+VALUE(MID(F768,3,1))/Parametros!$E$4+VALUE(MID(F768,4,1))/Parametros!$E$5)</f>
        <v/>
      </c>
      <c r="J768" s="5">
        <f>IF(G768=0,Parametros!$E$8,Parametros!$E$6+Parametros!$E$6*(Parametros!$E$7/G768+I768)/(Parametros!$E$6+Parametros!$E$7/G768+I768))</f>
        <v/>
      </c>
      <c r="K768" s="2" t="inlineStr">
        <is>
          <t>2026-10-09 10:40</t>
        </is>
      </c>
      <c r="L768" s="6" t="inlineStr">
        <is>
          <t>Válido</t>
        </is>
      </c>
      <c r="M768" s="2">
        <f>IF(L768="Válido","Sim","Não")</f>
        <v/>
      </c>
      <c r="N768" s="2" t="inlineStr"/>
    </row>
    <row r="769">
      <c r="A769" s="2" t="inlineStr">
        <is>
          <t>0Bracos_2700_R0010_210W_2026-10-09_10_40.csv</t>
        </is>
      </c>
      <c r="B769" s="2" t="inlineStr">
        <is>
          <t>210W_2700RPM_R0010</t>
        </is>
      </c>
      <c r="C769" s="2" t="n">
        <v>210</v>
      </c>
      <c r="D769" s="2" t="n">
        <v>2700</v>
      </c>
      <c r="E769" s="3">
        <f>D769*2/60</f>
        <v/>
      </c>
      <c r="F769" s="2" t="inlineStr">
        <is>
          <t>0010</t>
        </is>
      </c>
      <c r="G769" s="2" t="n">
        <v>0</v>
      </c>
      <c r="H769" s="2">
        <f>INDEX(Parametros!$B$2:$B$9,MATCH(G769,Parametros!$A$2:$A$9,0))</f>
        <v/>
      </c>
      <c r="I769" s="4">
        <f>1/(VALUE(MID(F769,1,1))/Parametros!$E$2+VALUE(MID(F769,2,1))/Parametros!$E$3+VALUE(MID(F769,3,1))/Parametros!$E$4+VALUE(MID(F769,4,1))/Parametros!$E$5)</f>
        <v/>
      </c>
      <c r="J769" s="5">
        <f>IF(G769=0,Parametros!$E$8,Parametros!$E$6+Parametros!$E$6*(Parametros!$E$7/G769+I769)/(Parametros!$E$6+Parametros!$E$7/G769+I769))</f>
        <v/>
      </c>
      <c r="K769" s="2" t="inlineStr">
        <is>
          <t>2026-10-09 10:40</t>
        </is>
      </c>
      <c r="L769" s="6" t="inlineStr">
        <is>
          <t>Válido</t>
        </is>
      </c>
      <c r="M769" s="2">
        <f>IF(L769="Válido","Sim","Não")</f>
        <v/>
      </c>
      <c r="N769" s="2" t="inlineStr"/>
    </row>
    <row r="770">
      <c r="A770" s="2" t="inlineStr">
        <is>
          <t>7Bracos_2700_R0011_210W_2026-10-09_10_40.csv</t>
        </is>
      </c>
      <c r="B770" s="2" t="inlineStr">
        <is>
          <t>210W_2700RPM_R0011</t>
        </is>
      </c>
      <c r="C770" s="2" t="n">
        <v>210</v>
      </c>
      <c r="D770" s="2" t="n">
        <v>2700</v>
      </c>
      <c r="E770" s="3">
        <f>D770*2/60</f>
        <v/>
      </c>
      <c r="F770" s="2" t="inlineStr">
        <is>
          <t>0011</t>
        </is>
      </c>
      <c r="G770" s="2" t="n">
        <v>7</v>
      </c>
      <c r="H770" s="2">
        <f>INDEX(Parametros!$B$2:$B$9,MATCH(G770,Parametros!$A$2:$A$9,0))</f>
        <v/>
      </c>
      <c r="I770" s="4">
        <f>1/(VALUE(MID(F770,1,1))/Parametros!$E$2+VALUE(MID(F770,2,1))/Parametros!$E$3+VALUE(MID(F770,3,1))/Parametros!$E$4+VALUE(MID(F770,4,1))/Parametros!$E$5)</f>
        <v/>
      </c>
      <c r="J770" s="5">
        <f>IF(G770=0,Parametros!$E$8,Parametros!$E$6+Parametros!$E$6*(Parametros!$E$7/G770+I770)/(Parametros!$E$6+Parametros!$E$7/G770+I770))</f>
        <v/>
      </c>
      <c r="K770" s="2" t="inlineStr">
        <is>
          <t>2026-10-09 10:40</t>
        </is>
      </c>
      <c r="L770" s="6" t="inlineStr">
        <is>
          <t>Válido</t>
        </is>
      </c>
      <c r="M770" s="2">
        <f>IF(L770="Válido","Sim","Não")</f>
        <v/>
      </c>
      <c r="N770" s="2" t="inlineStr"/>
    </row>
    <row r="771">
      <c r="A771" s="2" t="inlineStr">
        <is>
          <t>6Bracos_2700_R0011_210W_2026-10-09_10_40.csv</t>
        </is>
      </c>
      <c r="B771" s="2" t="inlineStr">
        <is>
          <t>210W_2700RPM_R0011</t>
        </is>
      </c>
      <c r="C771" s="2" t="n">
        <v>210</v>
      </c>
      <c r="D771" s="2" t="n">
        <v>2700</v>
      </c>
      <c r="E771" s="3">
        <f>D771*2/60</f>
        <v/>
      </c>
      <c r="F771" s="2" t="inlineStr">
        <is>
          <t>0011</t>
        </is>
      </c>
      <c r="G771" s="2" t="n">
        <v>6</v>
      </c>
      <c r="H771" s="2">
        <f>INDEX(Parametros!$B$2:$B$9,MATCH(G771,Parametros!$A$2:$A$9,0))</f>
        <v/>
      </c>
      <c r="I771" s="4">
        <f>1/(VALUE(MID(F771,1,1))/Parametros!$E$2+VALUE(MID(F771,2,1))/Parametros!$E$3+VALUE(MID(F771,3,1))/Parametros!$E$4+VALUE(MID(F771,4,1))/Parametros!$E$5)</f>
        <v/>
      </c>
      <c r="J771" s="5">
        <f>IF(G771=0,Parametros!$E$8,Parametros!$E$6+Parametros!$E$6*(Parametros!$E$7/G771+I771)/(Parametros!$E$6+Parametros!$E$7/G771+I771))</f>
        <v/>
      </c>
      <c r="K771" s="2" t="inlineStr">
        <is>
          <t>2026-10-09 10:40</t>
        </is>
      </c>
      <c r="L771" s="6" t="inlineStr">
        <is>
          <t>Válido</t>
        </is>
      </c>
      <c r="M771" s="2">
        <f>IF(L771="Válido","Sim","Não")</f>
        <v/>
      </c>
      <c r="N771" s="2" t="inlineStr"/>
    </row>
    <row r="772">
      <c r="A772" s="2" t="inlineStr">
        <is>
          <t>5Bracos_2700_R0011_210W_2026-10-09_10_40.csv</t>
        </is>
      </c>
      <c r="B772" s="2" t="inlineStr">
        <is>
          <t>210W_2700RPM_R0011</t>
        </is>
      </c>
      <c r="C772" s="2" t="n">
        <v>210</v>
      </c>
      <c r="D772" s="2" t="n">
        <v>2700</v>
      </c>
      <c r="E772" s="3">
        <f>D772*2/60</f>
        <v/>
      </c>
      <c r="F772" s="2" t="inlineStr">
        <is>
          <t>0011</t>
        </is>
      </c>
      <c r="G772" s="2" t="n">
        <v>5</v>
      </c>
      <c r="H772" s="2">
        <f>INDEX(Parametros!$B$2:$B$9,MATCH(G772,Parametros!$A$2:$A$9,0))</f>
        <v/>
      </c>
      <c r="I772" s="4">
        <f>1/(VALUE(MID(F772,1,1))/Parametros!$E$2+VALUE(MID(F772,2,1))/Parametros!$E$3+VALUE(MID(F772,3,1))/Parametros!$E$4+VALUE(MID(F772,4,1))/Parametros!$E$5)</f>
        <v/>
      </c>
      <c r="J772" s="5">
        <f>IF(G772=0,Parametros!$E$8,Parametros!$E$6+Parametros!$E$6*(Parametros!$E$7/G772+I772)/(Parametros!$E$6+Parametros!$E$7/G772+I772))</f>
        <v/>
      </c>
      <c r="K772" s="2" t="inlineStr">
        <is>
          <t>2026-10-09 10:40</t>
        </is>
      </c>
      <c r="L772" s="6" t="inlineStr">
        <is>
          <t>Válido</t>
        </is>
      </c>
      <c r="M772" s="2">
        <f>IF(L772="Válido","Sim","Não")</f>
        <v/>
      </c>
      <c r="N772" s="2" t="inlineStr"/>
    </row>
    <row r="773">
      <c r="A773" s="2" t="inlineStr">
        <is>
          <t>4Bracos_2700_R0011_210W_2026-10-09_10_40.csv</t>
        </is>
      </c>
      <c r="B773" s="2" t="inlineStr">
        <is>
          <t>210W_2700RPM_R0011</t>
        </is>
      </c>
      <c r="C773" s="2" t="n">
        <v>210</v>
      </c>
      <c r="D773" s="2" t="n">
        <v>2700</v>
      </c>
      <c r="E773" s="3">
        <f>D773*2/60</f>
        <v/>
      </c>
      <c r="F773" s="2" t="inlineStr">
        <is>
          <t>0011</t>
        </is>
      </c>
      <c r="G773" s="2" t="n">
        <v>4</v>
      </c>
      <c r="H773" s="2">
        <f>INDEX(Parametros!$B$2:$B$9,MATCH(G773,Parametros!$A$2:$A$9,0))</f>
        <v/>
      </c>
      <c r="I773" s="4">
        <f>1/(VALUE(MID(F773,1,1))/Parametros!$E$2+VALUE(MID(F773,2,1))/Parametros!$E$3+VALUE(MID(F773,3,1))/Parametros!$E$4+VALUE(MID(F773,4,1))/Parametros!$E$5)</f>
        <v/>
      </c>
      <c r="J773" s="5">
        <f>IF(G773=0,Parametros!$E$8,Parametros!$E$6+Parametros!$E$6*(Parametros!$E$7/G773+I773)/(Parametros!$E$6+Parametros!$E$7/G773+I773))</f>
        <v/>
      </c>
      <c r="K773" s="2" t="inlineStr">
        <is>
          <t>2026-10-09 10:40</t>
        </is>
      </c>
      <c r="L773" s="6" t="inlineStr">
        <is>
          <t>Válido</t>
        </is>
      </c>
      <c r="M773" s="2">
        <f>IF(L773="Válido","Sim","Não")</f>
        <v/>
      </c>
      <c r="N773" s="2" t="inlineStr"/>
    </row>
    <row r="774">
      <c r="A774" s="2" t="inlineStr">
        <is>
          <t>3Bracos_2700_R0011_210W_2026-10-09_10_40.csv</t>
        </is>
      </c>
      <c r="B774" s="2" t="inlineStr">
        <is>
          <t>210W_2700RPM_R0011</t>
        </is>
      </c>
      <c r="C774" s="2" t="n">
        <v>210</v>
      </c>
      <c r="D774" s="2" t="n">
        <v>2700</v>
      </c>
      <c r="E774" s="3">
        <f>D774*2/60</f>
        <v/>
      </c>
      <c r="F774" s="2" t="inlineStr">
        <is>
          <t>0011</t>
        </is>
      </c>
      <c r="G774" s="2" t="n">
        <v>3</v>
      </c>
      <c r="H774" s="2">
        <f>INDEX(Parametros!$B$2:$B$9,MATCH(G774,Parametros!$A$2:$A$9,0))</f>
        <v/>
      </c>
      <c r="I774" s="4">
        <f>1/(VALUE(MID(F774,1,1))/Parametros!$E$2+VALUE(MID(F774,2,1))/Parametros!$E$3+VALUE(MID(F774,3,1))/Parametros!$E$4+VALUE(MID(F774,4,1))/Parametros!$E$5)</f>
        <v/>
      </c>
      <c r="J774" s="5">
        <f>IF(G774=0,Parametros!$E$8,Parametros!$E$6+Parametros!$E$6*(Parametros!$E$7/G774+I774)/(Parametros!$E$6+Parametros!$E$7/G774+I774))</f>
        <v/>
      </c>
      <c r="K774" s="2" t="inlineStr">
        <is>
          <t>2026-10-09 10:40</t>
        </is>
      </c>
      <c r="L774" s="6" t="inlineStr">
        <is>
          <t>Válido</t>
        </is>
      </c>
      <c r="M774" s="2">
        <f>IF(L774="Válido","Sim","Não")</f>
        <v/>
      </c>
      <c r="N774" s="2" t="inlineStr"/>
    </row>
    <row r="775">
      <c r="A775" s="2" t="inlineStr">
        <is>
          <t>2Bracos_2700_R0011_210W_2026-10-09_10_40.csv</t>
        </is>
      </c>
      <c r="B775" s="2" t="inlineStr">
        <is>
          <t>210W_2700RPM_R0011</t>
        </is>
      </c>
      <c r="C775" s="2" t="n">
        <v>210</v>
      </c>
      <c r="D775" s="2" t="n">
        <v>2700</v>
      </c>
      <c r="E775" s="3">
        <f>D775*2/60</f>
        <v/>
      </c>
      <c r="F775" s="2" t="inlineStr">
        <is>
          <t>0011</t>
        </is>
      </c>
      <c r="G775" s="2" t="n">
        <v>2</v>
      </c>
      <c r="H775" s="2">
        <f>INDEX(Parametros!$B$2:$B$9,MATCH(G775,Parametros!$A$2:$A$9,0))</f>
        <v/>
      </c>
      <c r="I775" s="4">
        <f>1/(VALUE(MID(F775,1,1))/Parametros!$E$2+VALUE(MID(F775,2,1))/Parametros!$E$3+VALUE(MID(F775,3,1))/Parametros!$E$4+VALUE(MID(F775,4,1))/Parametros!$E$5)</f>
        <v/>
      </c>
      <c r="J775" s="5">
        <f>IF(G775=0,Parametros!$E$8,Parametros!$E$6+Parametros!$E$6*(Parametros!$E$7/G775+I775)/(Parametros!$E$6+Parametros!$E$7/G775+I775))</f>
        <v/>
      </c>
      <c r="K775" s="2" t="inlineStr">
        <is>
          <t>2026-10-09 10:40</t>
        </is>
      </c>
      <c r="L775" s="6" t="inlineStr">
        <is>
          <t>Válido</t>
        </is>
      </c>
      <c r="M775" s="2">
        <f>IF(L775="Válido","Sim","Não")</f>
        <v/>
      </c>
      <c r="N775" s="2" t="inlineStr"/>
    </row>
    <row r="776">
      <c r="A776" s="2" t="inlineStr">
        <is>
          <t>1Bracos_2700_R0011_210W_2026-10-09_10_40.csv</t>
        </is>
      </c>
      <c r="B776" s="2" t="inlineStr">
        <is>
          <t>210W_2700RPM_R0011</t>
        </is>
      </c>
      <c r="C776" s="2" t="n">
        <v>210</v>
      </c>
      <c r="D776" s="2" t="n">
        <v>2700</v>
      </c>
      <c r="E776" s="3">
        <f>D776*2/60</f>
        <v/>
      </c>
      <c r="F776" s="2" t="inlineStr">
        <is>
          <t>0011</t>
        </is>
      </c>
      <c r="G776" s="2" t="n">
        <v>1</v>
      </c>
      <c r="H776" s="2">
        <f>INDEX(Parametros!$B$2:$B$9,MATCH(G776,Parametros!$A$2:$A$9,0))</f>
        <v/>
      </c>
      <c r="I776" s="4">
        <f>1/(VALUE(MID(F776,1,1))/Parametros!$E$2+VALUE(MID(F776,2,1))/Parametros!$E$3+VALUE(MID(F776,3,1))/Parametros!$E$4+VALUE(MID(F776,4,1))/Parametros!$E$5)</f>
        <v/>
      </c>
      <c r="J776" s="5">
        <f>IF(G776=0,Parametros!$E$8,Parametros!$E$6+Parametros!$E$6*(Parametros!$E$7/G776+I776)/(Parametros!$E$6+Parametros!$E$7/G776+I776))</f>
        <v/>
      </c>
      <c r="K776" s="2" t="inlineStr">
        <is>
          <t>2026-10-09 10:40</t>
        </is>
      </c>
      <c r="L776" s="6" t="inlineStr">
        <is>
          <t>Válido</t>
        </is>
      </c>
      <c r="M776" s="2">
        <f>IF(L776="Válido","Sim","Não")</f>
        <v/>
      </c>
      <c r="N776" s="2" t="inlineStr"/>
    </row>
    <row r="777">
      <c r="A777" s="2" t="inlineStr">
        <is>
          <t>0Bracos_2700_R0011_210W_2026-10-09_10_40.csv</t>
        </is>
      </c>
      <c r="B777" s="2" t="inlineStr">
        <is>
          <t>210W_2700RPM_R0011</t>
        </is>
      </c>
      <c r="C777" s="2" t="n">
        <v>210</v>
      </c>
      <c r="D777" s="2" t="n">
        <v>2700</v>
      </c>
      <c r="E777" s="3">
        <f>D777*2/60</f>
        <v/>
      </c>
      <c r="F777" s="2" t="inlineStr">
        <is>
          <t>0011</t>
        </is>
      </c>
      <c r="G777" s="2" t="n">
        <v>0</v>
      </c>
      <c r="H777" s="2">
        <f>INDEX(Parametros!$B$2:$B$9,MATCH(G777,Parametros!$A$2:$A$9,0))</f>
        <v/>
      </c>
      <c r="I777" s="4">
        <f>1/(VALUE(MID(F777,1,1))/Parametros!$E$2+VALUE(MID(F777,2,1))/Parametros!$E$3+VALUE(MID(F777,3,1))/Parametros!$E$4+VALUE(MID(F777,4,1))/Parametros!$E$5)</f>
        <v/>
      </c>
      <c r="J777" s="5">
        <f>IF(G777=0,Parametros!$E$8,Parametros!$E$6+Parametros!$E$6*(Parametros!$E$7/G777+I777)/(Parametros!$E$6+Parametros!$E$7/G777+I777))</f>
        <v/>
      </c>
      <c r="K777" s="2" t="inlineStr">
        <is>
          <t>2026-10-09 10:40</t>
        </is>
      </c>
      <c r="L777" s="6" t="inlineStr">
        <is>
          <t>Válido</t>
        </is>
      </c>
      <c r="M777" s="2">
        <f>IF(L777="Válido","Sim","Não")</f>
        <v/>
      </c>
      <c r="N777" s="2" t="inlineStr"/>
    </row>
    <row r="778">
      <c r="A778" s="2" t="inlineStr">
        <is>
          <t>7Bracos_2700_R0100_210W_2026-10-09_10_40.csv</t>
        </is>
      </c>
      <c r="B778" s="2" t="inlineStr">
        <is>
          <t>210W_2700RPM_R0100</t>
        </is>
      </c>
      <c r="C778" s="2" t="n">
        <v>210</v>
      </c>
      <c r="D778" s="2" t="n">
        <v>2700</v>
      </c>
      <c r="E778" s="3">
        <f>D778*2/60</f>
        <v/>
      </c>
      <c r="F778" s="2" t="inlineStr">
        <is>
          <t>0100</t>
        </is>
      </c>
      <c r="G778" s="2" t="n">
        <v>7</v>
      </c>
      <c r="H778" s="2">
        <f>INDEX(Parametros!$B$2:$B$9,MATCH(G778,Parametros!$A$2:$A$9,0))</f>
        <v/>
      </c>
      <c r="I778" s="4">
        <f>1/(VALUE(MID(F778,1,1))/Parametros!$E$2+VALUE(MID(F778,2,1))/Parametros!$E$3+VALUE(MID(F778,3,1))/Parametros!$E$4+VALUE(MID(F778,4,1))/Parametros!$E$5)</f>
        <v/>
      </c>
      <c r="J778" s="5">
        <f>IF(G778=0,Parametros!$E$8,Parametros!$E$6+Parametros!$E$6*(Parametros!$E$7/G778+I778)/(Parametros!$E$6+Parametros!$E$7/G778+I778))</f>
        <v/>
      </c>
      <c r="K778" s="2" t="inlineStr">
        <is>
          <t>2026-10-09 10:40</t>
        </is>
      </c>
      <c r="L778" s="6" t="inlineStr">
        <is>
          <t>Válido</t>
        </is>
      </c>
      <c r="M778" s="2">
        <f>IF(L778="Válido","Sim","Não")</f>
        <v/>
      </c>
      <c r="N778" s="2" t="inlineStr"/>
    </row>
    <row r="779">
      <c r="A779" s="2" t="inlineStr">
        <is>
          <t>6Bracos_2700_R0100_210W_2026-10-09_10_40.csv</t>
        </is>
      </c>
      <c r="B779" s="2" t="inlineStr">
        <is>
          <t>210W_2700RPM_R0100</t>
        </is>
      </c>
      <c r="C779" s="2" t="n">
        <v>210</v>
      </c>
      <c r="D779" s="2" t="n">
        <v>2700</v>
      </c>
      <c r="E779" s="3">
        <f>D779*2/60</f>
        <v/>
      </c>
      <c r="F779" s="2" t="inlineStr">
        <is>
          <t>0100</t>
        </is>
      </c>
      <c r="G779" s="2" t="n">
        <v>6</v>
      </c>
      <c r="H779" s="2">
        <f>INDEX(Parametros!$B$2:$B$9,MATCH(G779,Parametros!$A$2:$A$9,0))</f>
        <v/>
      </c>
      <c r="I779" s="4">
        <f>1/(VALUE(MID(F779,1,1))/Parametros!$E$2+VALUE(MID(F779,2,1))/Parametros!$E$3+VALUE(MID(F779,3,1))/Parametros!$E$4+VALUE(MID(F779,4,1))/Parametros!$E$5)</f>
        <v/>
      </c>
      <c r="J779" s="5">
        <f>IF(G779=0,Parametros!$E$8,Parametros!$E$6+Parametros!$E$6*(Parametros!$E$7/G779+I779)/(Parametros!$E$6+Parametros!$E$7/G779+I779))</f>
        <v/>
      </c>
      <c r="K779" s="2" t="inlineStr">
        <is>
          <t>2026-10-09 10:40</t>
        </is>
      </c>
      <c r="L779" s="6" t="inlineStr">
        <is>
          <t>Válido</t>
        </is>
      </c>
      <c r="M779" s="2">
        <f>IF(L779="Válido","Sim","Não")</f>
        <v/>
      </c>
      <c r="N779" s="2" t="inlineStr"/>
    </row>
    <row r="780">
      <c r="A780" s="2" t="inlineStr">
        <is>
          <t>5Bracos_2700_R0100_210W_2026-10-09_10_40.csv</t>
        </is>
      </c>
      <c r="B780" s="2" t="inlineStr">
        <is>
          <t>210W_2700RPM_R0100</t>
        </is>
      </c>
      <c r="C780" s="2" t="n">
        <v>210</v>
      </c>
      <c r="D780" s="2" t="n">
        <v>2700</v>
      </c>
      <c r="E780" s="3">
        <f>D780*2/60</f>
        <v/>
      </c>
      <c r="F780" s="2" t="inlineStr">
        <is>
          <t>0100</t>
        </is>
      </c>
      <c r="G780" s="2" t="n">
        <v>5</v>
      </c>
      <c r="H780" s="2">
        <f>INDEX(Parametros!$B$2:$B$9,MATCH(G780,Parametros!$A$2:$A$9,0))</f>
        <v/>
      </c>
      <c r="I780" s="4">
        <f>1/(VALUE(MID(F780,1,1))/Parametros!$E$2+VALUE(MID(F780,2,1))/Parametros!$E$3+VALUE(MID(F780,3,1))/Parametros!$E$4+VALUE(MID(F780,4,1))/Parametros!$E$5)</f>
        <v/>
      </c>
      <c r="J780" s="5">
        <f>IF(G780=0,Parametros!$E$8,Parametros!$E$6+Parametros!$E$6*(Parametros!$E$7/G780+I780)/(Parametros!$E$6+Parametros!$E$7/G780+I780))</f>
        <v/>
      </c>
      <c r="K780" s="2" t="inlineStr">
        <is>
          <t>2026-10-09 10:40</t>
        </is>
      </c>
      <c r="L780" s="6" t="inlineStr">
        <is>
          <t>Válido</t>
        </is>
      </c>
      <c r="M780" s="2">
        <f>IF(L780="Válido","Sim","Não")</f>
        <v/>
      </c>
      <c r="N780" s="2" t="inlineStr"/>
    </row>
    <row r="781">
      <c r="A781" s="2" t="inlineStr">
        <is>
          <t>4Bracos_2700_R0100_210W_2026-10-09_10_40.csv</t>
        </is>
      </c>
      <c r="B781" s="2" t="inlineStr">
        <is>
          <t>210W_2700RPM_R0100</t>
        </is>
      </c>
      <c r="C781" s="2" t="n">
        <v>210</v>
      </c>
      <c r="D781" s="2" t="n">
        <v>2700</v>
      </c>
      <c r="E781" s="3">
        <f>D781*2/60</f>
        <v/>
      </c>
      <c r="F781" s="2" t="inlineStr">
        <is>
          <t>0100</t>
        </is>
      </c>
      <c r="G781" s="2" t="n">
        <v>4</v>
      </c>
      <c r="H781" s="2">
        <f>INDEX(Parametros!$B$2:$B$9,MATCH(G781,Parametros!$A$2:$A$9,0))</f>
        <v/>
      </c>
      <c r="I781" s="4">
        <f>1/(VALUE(MID(F781,1,1))/Parametros!$E$2+VALUE(MID(F781,2,1))/Parametros!$E$3+VALUE(MID(F781,3,1))/Parametros!$E$4+VALUE(MID(F781,4,1))/Parametros!$E$5)</f>
        <v/>
      </c>
      <c r="J781" s="5">
        <f>IF(G781=0,Parametros!$E$8,Parametros!$E$6+Parametros!$E$6*(Parametros!$E$7/G781+I781)/(Parametros!$E$6+Parametros!$E$7/G781+I781))</f>
        <v/>
      </c>
      <c r="K781" s="2" t="inlineStr">
        <is>
          <t>2026-10-09 10:40</t>
        </is>
      </c>
      <c r="L781" s="6" t="inlineStr">
        <is>
          <t>Válido</t>
        </is>
      </c>
      <c r="M781" s="2">
        <f>IF(L781="Válido","Sim","Não")</f>
        <v/>
      </c>
      <c r="N781" s="2" t="inlineStr"/>
    </row>
    <row r="782">
      <c r="A782" s="2" t="inlineStr">
        <is>
          <t>3Bracos_2700_R0100_210W_2026-10-09_10_40.csv</t>
        </is>
      </c>
      <c r="B782" s="2" t="inlineStr">
        <is>
          <t>210W_2700RPM_R0100</t>
        </is>
      </c>
      <c r="C782" s="2" t="n">
        <v>210</v>
      </c>
      <c r="D782" s="2" t="n">
        <v>2700</v>
      </c>
      <c r="E782" s="3">
        <f>D782*2/60</f>
        <v/>
      </c>
      <c r="F782" s="2" t="inlineStr">
        <is>
          <t>0100</t>
        </is>
      </c>
      <c r="G782" s="2" t="n">
        <v>3</v>
      </c>
      <c r="H782" s="2">
        <f>INDEX(Parametros!$B$2:$B$9,MATCH(G782,Parametros!$A$2:$A$9,0))</f>
        <v/>
      </c>
      <c r="I782" s="4">
        <f>1/(VALUE(MID(F782,1,1))/Parametros!$E$2+VALUE(MID(F782,2,1))/Parametros!$E$3+VALUE(MID(F782,3,1))/Parametros!$E$4+VALUE(MID(F782,4,1))/Parametros!$E$5)</f>
        <v/>
      </c>
      <c r="J782" s="5">
        <f>IF(G782=0,Parametros!$E$8,Parametros!$E$6+Parametros!$E$6*(Parametros!$E$7/G782+I782)/(Parametros!$E$6+Parametros!$E$7/G782+I782))</f>
        <v/>
      </c>
      <c r="K782" s="2" t="inlineStr">
        <is>
          <t>2026-10-09 10:40</t>
        </is>
      </c>
      <c r="L782" s="6" t="inlineStr">
        <is>
          <t>Válido</t>
        </is>
      </c>
      <c r="M782" s="2">
        <f>IF(L782="Válido","Sim","Não")</f>
        <v/>
      </c>
      <c r="N782" s="2" t="inlineStr"/>
    </row>
    <row r="783">
      <c r="A783" s="2" t="inlineStr">
        <is>
          <t>2Bracos_2700_R0100_210W_2026-10-09_10_40.csv</t>
        </is>
      </c>
      <c r="B783" s="2" t="inlineStr">
        <is>
          <t>210W_2700RPM_R0100</t>
        </is>
      </c>
      <c r="C783" s="2" t="n">
        <v>210</v>
      </c>
      <c r="D783" s="2" t="n">
        <v>2700</v>
      </c>
      <c r="E783" s="3">
        <f>D783*2/60</f>
        <v/>
      </c>
      <c r="F783" s="2" t="inlineStr">
        <is>
          <t>0100</t>
        </is>
      </c>
      <c r="G783" s="2" t="n">
        <v>2</v>
      </c>
      <c r="H783" s="2">
        <f>INDEX(Parametros!$B$2:$B$9,MATCH(G783,Parametros!$A$2:$A$9,0))</f>
        <v/>
      </c>
      <c r="I783" s="4">
        <f>1/(VALUE(MID(F783,1,1))/Parametros!$E$2+VALUE(MID(F783,2,1))/Parametros!$E$3+VALUE(MID(F783,3,1))/Parametros!$E$4+VALUE(MID(F783,4,1))/Parametros!$E$5)</f>
        <v/>
      </c>
      <c r="J783" s="5">
        <f>IF(G783=0,Parametros!$E$8,Parametros!$E$6+Parametros!$E$6*(Parametros!$E$7/G783+I783)/(Parametros!$E$6+Parametros!$E$7/G783+I783))</f>
        <v/>
      </c>
      <c r="K783" s="2" t="inlineStr">
        <is>
          <t>2026-10-09 10:40</t>
        </is>
      </c>
      <c r="L783" s="6" t="inlineStr">
        <is>
          <t>Válido</t>
        </is>
      </c>
      <c r="M783" s="2">
        <f>IF(L783="Válido","Sim","Não")</f>
        <v/>
      </c>
      <c r="N783" s="2" t="inlineStr"/>
    </row>
    <row r="784">
      <c r="A784" s="2" t="inlineStr">
        <is>
          <t>1Bracos_2700_R0100_210W_2026-10-09_10_40.csv</t>
        </is>
      </c>
      <c r="B784" s="2" t="inlineStr">
        <is>
          <t>210W_2700RPM_R0100</t>
        </is>
      </c>
      <c r="C784" s="2" t="n">
        <v>210</v>
      </c>
      <c r="D784" s="2" t="n">
        <v>2700</v>
      </c>
      <c r="E784" s="3">
        <f>D784*2/60</f>
        <v/>
      </c>
      <c r="F784" s="2" t="inlineStr">
        <is>
          <t>0100</t>
        </is>
      </c>
      <c r="G784" s="2" t="n">
        <v>1</v>
      </c>
      <c r="H784" s="2">
        <f>INDEX(Parametros!$B$2:$B$9,MATCH(G784,Parametros!$A$2:$A$9,0))</f>
        <v/>
      </c>
      <c r="I784" s="4">
        <f>1/(VALUE(MID(F784,1,1))/Parametros!$E$2+VALUE(MID(F784,2,1))/Parametros!$E$3+VALUE(MID(F784,3,1))/Parametros!$E$4+VALUE(MID(F784,4,1))/Parametros!$E$5)</f>
        <v/>
      </c>
      <c r="J784" s="5">
        <f>IF(G784=0,Parametros!$E$8,Parametros!$E$6+Parametros!$E$6*(Parametros!$E$7/G784+I784)/(Parametros!$E$6+Parametros!$E$7/G784+I784))</f>
        <v/>
      </c>
      <c r="K784" s="2" t="inlineStr">
        <is>
          <t>2026-10-09 10:40</t>
        </is>
      </c>
      <c r="L784" s="6" t="inlineStr">
        <is>
          <t>Válido</t>
        </is>
      </c>
      <c r="M784" s="2">
        <f>IF(L784="Válido","Sim","Não")</f>
        <v/>
      </c>
      <c r="N784" s="2" t="inlineStr"/>
    </row>
    <row r="785">
      <c r="A785" s="2" t="inlineStr">
        <is>
          <t>0Bracos_2700_R0100_210W_2026-10-09_10_40.csv</t>
        </is>
      </c>
      <c r="B785" s="2" t="inlineStr">
        <is>
          <t>210W_2700RPM_R0100</t>
        </is>
      </c>
      <c r="C785" s="2" t="n">
        <v>210</v>
      </c>
      <c r="D785" s="2" t="n">
        <v>2700</v>
      </c>
      <c r="E785" s="3">
        <f>D785*2/60</f>
        <v/>
      </c>
      <c r="F785" s="2" t="inlineStr">
        <is>
          <t>0100</t>
        </is>
      </c>
      <c r="G785" s="2" t="n">
        <v>0</v>
      </c>
      <c r="H785" s="2">
        <f>INDEX(Parametros!$B$2:$B$9,MATCH(G785,Parametros!$A$2:$A$9,0))</f>
        <v/>
      </c>
      <c r="I785" s="4">
        <f>1/(VALUE(MID(F785,1,1))/Parametros!$E$2+VALUE(MID(F785,2,1))/Parametros!$E$3+VALUE(MID(F785,3,1))/Parametros!$E$4+VALUE(MID(F785,4,1))/Parametros!$E$5)</f>
        <v/>
      </c>
      <c r="J785" s="5">
        <f>IF(G785=0,Parametros!$E$8,Parametros!$E$6+Parametros!$E$6*(Parametros!$E$7/G785+I785)/(Parametros!$E$6+Parametros!$E$7/G785+I785))</f>
        <v/>
      </c>
      <c r="K785" s="2" t="inlineStr">
        <is>
          <t>2026-10-09 10:40</t>
        </is>
      </c>
      <c r="L785" s="6" t="inlineStr">
        <is>
          <t>Válido</t>
        </is>
      </c>
      <c r="M785" s="2">
        <f>IF(L785="Válido","Sim","Não")</f>
        <v/>
      </c>
      <c r="N785" s="2" t="inlineStr"/>
    </row>
    <row r="786">
      <c r="A786" s="2" t="inlineStr">
        <is>
          <t>7Bracos_2700_R0101_210W_2026-10-09_10_40.csv</t>
        </is>
      </c>
      <c r="B786" s="2" t="inlineStr">
        <is>
          <t>210W_2700RPM_R0101</t>
        </is>
      </c>
      <c r="C786" s="2" t="n">
        <v>210</v>
      </c>
      <c r="D786" s="2" t="n">
        <v>2700</v>
      </c>
      <c r="E786" s="3">
        <f>D786*2/60</f>
        <v/>
      </c>
      <c r="F786" s="2" t="inlineStr">
        <is>
          <t>0101</t>
        </is>
      </c>
      <c r="G786" s="2" t="n">
        <v>7</v>
      </c>
      <c r="H786" s="2">
        <f>INDEX(Parametros!$B$2:$B$9,MATCH(G786,Parametros!$A$2:$A$9,0))</f>
        <v/>
      </c>
      <c r="I786" s="4">
        <f>1/(VALUE(MID(F786,1,1))/Parametros!$E$2+VALUE(MID(F786,2,1))/Parametros!$E$3+VALUE(MID(F786,3,1))/Parametros!$E$4+VALUE(MID(F786,4,1))/Parametros!$E$5)</f>
        <v/>
      </c>
      <c r="J786" s="5">
        <f>IF(G786=0,Parametros!$E$8,Parametros!$E$6+Parametros!$E$6*(Parametros!$E$7/G786+I786)/(Parametros!$E$6+Parametros!$E$7/G786+I786))</f>
        <v/>
      </c>
      <c r="K786" s="2" t="inlineStr">
        <is>
          <t>2026-10-09 10:40</t>
        </is>
      </c>
      <c r="L786" s="6" t="inlineStr">
        <is>
          <t>Válido</t>
        </is>
      </c>
      <c r="M786" s="2">
        <f>IF(L786="Válido","Sim","Não")</f>
        <v/>
      </c>
      <c r="N786" s="2" t="inlineStr"/>
    </row>
    <row r="787">
      <c r="A787" s="2" t="inlineStr">
        <is>
          <t>6Bracos_2700_R0101_210W_2026-10-09_10_40.csv</t>
        </is>
      </c>
      <c r="B787" s="2" t="inlineStr">
        <is>
          <t>210W_2700RPM_R0101</t>
        </is>
      </c>
      <c r="C787" s="2" t="n">
        <v>210</v>
      </c>
      <c r="D787" s="2" t="n">
        <v>2700</v>
      </c>
      <c r="E787" s="3">
        <f>D787*2/60</f>
        <v/>
      </c>
      <c r="F787" s="2" t="inlineStr">
        <is>
          <t>0101</t>
        </is>
      </c>
      <c r="G787" s="2" t="n">
        <v>6</v>
      </c>
      <c r="H787" s="2">
        <f>INDEX(Parametros!$B$2:$B$9,MATCH(G787,Parametros!$A$2:$A$9,0))</f>
        <v/>
      </c>
      <c r="I787" s="4">
        <f>1/(VALUE(MID(F787,1,1))/Parametros!$E$2+VALUE(MID(F787,2,1))/Parametros!$E$3+VALUE(MID(F787,3,1))/Parametros!$E$4+VALUE(MID(F787,4,1))/Parametros!$E$5)</f>
        <v/>
      </c>
      <c r="J787" s="5">
        <f>IF(G787=0,Parametros!$E$8,Parametros!$E$6+Parametros!$E$6*(Parametros!$E$7/G787+I787)/(Parametros!$E$6+Parametros!$E$7/G787+I787))</f>
        <v/>
      </c>
      <c r="K787" s="2" t="inlineStr">
        <is>
          <t>2026-10-09 10:40</t>
        </is>
      </c>
      <c r="L787" s="6" t="inlineStr">
        <is>
          <t>Válido</t>
        </is>
      </c>
      <c r="M787" s="2">
        <f>IF(L787="Válido","Sim","Não")</f>
        <v/>
      </c>
      <c r="N787" s="2" t="inlineStr"/>
    </row>
    <row r="788">
      <c r="A788" s="2" t="inlineStr">
        <is>
          <t>5Bracos_2700_R0101_210W_2026-10-09_10_40.csv</t>
        </is>
      </c>
      <c r="B788" s="2" t="inlineStr">
        <is>
          <t>210W_2700RPM_R0101</t>
        </is>
      </c>
      <c r="C788" s="2" t="n">
        <v>210</v>
      </c>
      <c r="D788" s="2" t="n">
        <v>2700</v>
      </c>
      <c r="E788" s="3">
        <f>D788*2/60</f>
        <v/>
      </c>
      <c r="F788" s="2" t="inlineStr">
        <is>
          <t>0101</t>
        </is>
      </c>
      <c r="G788" s="2" t="n">
        <v>5</v>
      </c>
      <c r="H788" s="2">
        <f>INDEX(Parametros!$B$2:$B$9,MATCH(G788,Parametros!$A$2:$A$9,0))</f>
        <v/>
      </c>
      <c r="I788" s="4">
        <f>1/(VALUE(MID(F788,1,1))/Parametros!$E$2+VALUE(MID(F788,2,1))/Parametros!$E$3+VALUE(MID(F788,3,1))/Parametros!$E$4+VALUE(MID(F788,4,1))/Parametros!$E$5)</f>
        <v/>
      </c>
      <c r="J788" s="5">
        <f>IF(G788=0,Parametros!$E$8,Parametros!$E$6+Parametros!$E$6*(Parametros!$E$7/G788+I788)/(Parametros!$E$6+Parametros!$E$7/G788+I788))</f>
        <v/>
      </c>
      <c r="K788" s="2" t="inlineStr">
        <is>
          <t>2026-10-09 10:40</t>
        </is>
      </c>
      <c r="L788" s="6" t="inlineStr">
        <is>
          <t>Válido</t>
        </is>
      </c>
      <c r="M788" s="2">
        <f>IF(L788="Válido","Sim","Não")</f>
        <v/>
      </c>
      <c r="N788" s="2" t="inlineStr"/>
    </row>
    <row r="789">
      <c r="A789" s="2" t="inlineStr">
        <is>
          <t>4Bracos_2700_R0101_210W_2026-10-09_10_40.csv</t>
        </is>
      </c>
      <c r="B789" s="2" t="inlineStr">
        <is>
          <t>210W_2700RPM_R0101</t>
        </is>
      </c>
      <c r="C789" s="2" t="n">
        <v>210</v>
      </c>
      <c r="D789" s="2" t="n">
        <v>2700</v>
      </c>
      <c r="E789" s="3">
        <f>D789*2/60</f>
        <v/>
      </c>
      <c r="F789" s="2" t="inlineStr">
        <is>
          <t>0101</t>
        </is>
      </c>
      <c r="G789" s="2" t="n">
        <v>4</v>
      </c>
      <c r="H789" s="2">
        <f>INDEX(Parametros!$B$2:$B$9,MATCH(G789,Parametros!$A$2:$A$9,0))</f>
        <v/>
      </c>
      <c r="I789" s="4">
        <f>1/(VALUE(MID(F789,1,1))/Parametros!$E$2+VALUE(MID(F789,2,1))/Parametros!$E$3+VALUE(MID(F789,3,1))/Parametros!$E$4+VALUE(MID(F789,4,1))/Parametros!$E$5)</f>
        <v/>
      </c>
      <c r="J789" s="5">
        <f>IF(G789=0,Parametros!$E$8,Parametros!$E$6+Parametros!$E$6*(Parametros!$E$7/G789+I789)/(Parametros!$E$6+Parametros!$E$7/G789+I789))</f>
        <v/>
      </c>
      <c r="K789" s="2" t="inlineStr">
        <is>
          <t>2026-10-09 10:40</t>
        </is>
      </c>
      <c r="L789" s="6" t="inlineStr">
        <is>
          <t>Válido</t>
        </is>
      </c>
      <c r="M789" s="2">
        <f>IF(L789="Válido","Sim","Não")</f>
        <v/>
      </c>
      <c r="N789" s="2" t="inlineStr"/>
    </row>
    <row r="790">
      <c r="A790" s="2" t="inlineStr">
        <is>
          <t>3Bracos_2700_R0101_210W_2026-10-09_10_40.csv</t>
        </is>
      </c>
      <c r="B790" s="2" t="inlineStr">
        <is>
          <t>210W_2700RPM_R0101</t>
        </is>
      </c>
      <c r="C790" s="2" t="n">
        <v>210</v>
      </c>
      <c r="D790" s="2" t="n">
        <v>2700</v>
      </c>
      <c r="E790" s="3">
        <f>D790*2/60</f>
        <v/>
      </c>
      <c r="F790" s="2" t="inlineStr">
        <is>
          <t>0101</t>
        </is>
      </c>
      <c r="G790" s="2" t="n">
        <v>3</v>
      </c>
      <c r="H790" s="2">
        <f>INDEX(Parametros!$B$2:$B$9,MATCH(G790,Parametros!$A$2:$A$9,0))</f>
        <v/>
      </c>
      <c r="I790" s="4">
        <f>1/(VALUE(MID(F790,1,1))/Parametros!$E$2+VALUE(MID(F790,2,1))/Parametros!$E$3+VALUE(MID(F790,3,1))/Parametros!$E$4+VALUE(MID(F790,4,1))/Parametros!$E$5)</f>
        <v/>
      </c>
      <c r="J790" s="5">
        <f>IF(G790=0,Parametros!$E$8,Parametros!$E$6+Parametros!$E$6*(Parametros!$E$7/G790+I790)/(Parametros!$E$6+Parametros!$E$7/G790+I790))</f>
        <v/>
      </c>
      <c r="K790" s="2" t="inlineStr">
        <is>
          <t>2026-10-09 10:40</t>
        </is>
      </c>
      <c r="L790" s="6" t="inlineStr">
        <is>
          <t>Válido</t>
        </is>
      </c>
      <c r="M790" s="2">
        <f>IF(L790="Válido","Sim","Não")</f>
        <v/>
      </c>
      <c r="N790" s="2" t="inlineStr"/>
    </row>
    <row r="791">
      <c r="A791" s="2" t="inlineStr">
        <is>
          <t>2Bracos_2700_R0101_210W_2026-10-09_10_40.csv</t>
        </is>
      </c>
      <c r="B791" s="2" t="inlineStr">
        <is>
          <t>210W_2700RPM_R0101</t>
        </is>
      </c>
      <c r="C791" s="2" t="n">
        <v>210</v>
      </c>
      <c r="D791" s="2" t="n">
        <v>2700</v>
      </c>
      <c r="E791" s="3">
        <f>D791*2/60</f>
        <v/>
      </c>
      <c r="F791" s="2" t="inlineStr">
        <is>
          <t>0101</t>
        </is>
      </c>
      <c r="G791" s="2" t="n">
        <v>2</v>
      </c>
      <c r="H791" s="2">
        <f>INDEX(Parametros!$B$2:$B$9,MATCH(G791,Parametros!$A$2:$A$9,0))</f>
        <v/>
      </c>
      <c r="I791" s="4">
        <f>1/(VALUE(MID(F791,1,1))/Parametros!$E$2+VALUE(MID(F791,2,1))/Parametros!$E$3+VALUE(MID(F791,3,1))/Parametros!$E$4+VALUE(MID(F791,4,1))/Parametros!$E$5)</f>
        <v/>
      </c>
      <c r="J791" s="5">
        <f>IF(G791=0,Parametros!$E$8,Parametros!$E$6+Parametros!$E$6*(Parametros!$E$7/G791+I791)/(Parametros!$E$6+Parametros!$E$7/G791+I791))</f>
        <v/>
      </c>
      <c r="K791" s="2" t="inlineStr">
        <is>
          <t>2026-10-09 10:40</t>
        </is>
      </c>
      <c r="L791" s="6" t="inlineStr">
        <is>
          <t>Válido</t>
        </is>
      </c>
      <c r="M791" s="2">
        <f>IF(L791="Válido","Sim","Não")</f>
        <v/>
      </c>
      <c r="N791" s="2" t="inlineStr"/>
    </row>
    <row r="792">
      <c r="A792" s="2" t="inlineStr">
        <is>
          <t>1Bracos_2700_R0101_210W_2026-10-09_10_40.csv</t>
        </is>
      </c>
      <c r="B792" s="2" t="inlineStr">
        <is>
          <t>210W_2700RPM_R0101</t>
        </is>
      </c>
      <c r="C792" s="2" t="n">
        <v>210</v>
      </c>
      <c r="D792" s="2" t="n">
        <v>2700</v>
      </c>
      <c r="E792" s="3">
        <f>D792*2/60</f>
        <v/>
      </c>
      <c r="F792" s="2" t="inlineStr">
        <is>
          <t>0101</t>
        </is>
      </c>
      <c r="G792" s="2" t="n">
        <v>1</v>
      </c>
      <c r="H792" s="2">
        <f>INDEX(Parametros!$B$2:$B$9,MATCH(G792,Parametros!$A$2:$A$9,0))</f>
        <v/>
      </c>
      <c r="I792" s="4">
        <f>1/(VALUE(MID(F792,1,1))/Parametros!$E$2+VALUE(MID(F792,2,1))/Parametros!$E$3+VALUE(MID(F792,3,1))/Parametros!$E$4+VALUE(MID(F792,4,1))/Parametros!$E$5)</f>
        <v/>
      </c>
      <c r="J792" s="5">
        <f>IF(G792=0,Parametros!$E$8,Parametros!$E$6+Parametros!$E$6*(Parametros!$E$7/G792+I792)/(Parametros!$E$6+Parametros!$E$7/G792+I792))</f>
        <v/>
      </c>
      <c r="K792" s="2" t="inlineStr">
        <is>
          <t>2026-10-09 10:40</t>
        </is>
      </c>
      <c r="L792" s="6" t="inlineStr">
        <is>
          <t>Válido</t>
        </is>
      </c>
      <c r="M792" s="2">
        <f>IF(L792="Válido","Sim","Não")</f>
        <v/>
      </c>
      <c r="N792" s="2" t="inlineStr"/>
    </row>
    <row r="793">
      <c r="A793" s="2" t="inlineStr">
        <is>
          <t>0Bracos_2700_R0101_210W_2026-10-09_10_40.csv</t>
        </is>
      </c>
      <c r="B793" s="2" t="inlineStr">
        <is>
          <t>210W_2700RPM_R0101</t>
        </is>
      </c>
      <c r="C793" s="2" t="n">
        <v>210</v>
      </c>
      <c r="D793" s="2" t="n">
        <v>2700</v>
      </c>
      <c r="E793" s="3">
        <f>D793*2/60</f>
        <v/>
      </c>
      <c r="F793" s="2" t="inlineStr">
        <is>
          <t>0101</t>
        </is>
      </c>
      <c r="G793" s="2" t="n">
        <v>0</v>
      </c>
      <c r="H793" s="2">
        <f>INDEX(Parametros!$B$2:$B$9,MATCH(G793,Parametros!$A$2:$A$9,0))</f>
        <v/>
      </c>
      <c r="I793" s="4">
        <f>1/(VALUE(MID(F793,1,1))/Parametros!$E$2+VALUE(MID(F793,2,1))/Parametros!$E$3+VALUE(MID(F793,3,1))/Parametros!$E$4+VALUE(MID(F793,4,1))/Parametros!$E$5)</f>
        <v/>
      </c>
      <c r="J793" s="5">
        <f>IF(G793=0,Parametros!$E$8,Parametros!$E$6+Parametros!$E$6*(Parametros!$E$7/G793+I793)/(Parametros!$E$6+Parametros!$E$7/G793+I793))</f>
        <v/>
      </c>
      <c r="K793" s="2" t="inlineStr">
        <is>
          <t>2026-10-09 10:40</t>
        </is>
      </c>
      <c r="L793" s="6" t="inlineStr">
        <is>
          <t>Válido</t>
        </is>
      </c>
      <c r="M793" s="2">
        <f>IF(L793="Válido","Sim","Não")</f>
        <v/>
      </c>
      <c r="N793" s="2" t="inlineStr"/>
    </row>
    <row r="794">
      <c r="A794" s="2" t="inlineStr">
        <is>
          <t>7Bracos_2700_R0110_210W_2026-10-09_10_40.csv</t>
        </is>
      </c>
      <c r="B794" s="2" t="inlineStr">
        <is>
          <t>210W_2700RPM_R0110</t>
        </is>
      </c>
      <c r="C794" s="2" t="n">
        <v>210</v>
      </c>
      <c r="D794" s="2" t="n">
        <v>2700</v>
      </c>
      <c r="E794" s="3">
        <f>D794*2/60</f>
        <v/>
      </c>
      <c r="F794" s="2" t="inlineStr">
        <is>
          <t>0110</t>
        </is>
      </c>
      <c r="G794" s="2" t="n">
        <v>7</v>
      </c>
      <c r="H794" s="2">
        <f>INDEX(Parametros!$B$2:$B$9,MATCH(G794,Parametros!$A$2:$A$9,0))</f>
        <v/>
      </c>
      <c r="I794" s="4">
        <f>1/(VALUE(MID(F794,1,1))/Parametros!$E$2+VALUE(MID(F794,2,1))/Parametros!$E$3+VALUE(MID(F794,3,1))/Parametros!$E$4+VALUE(MID(F794,4,1))/Parametros!$E$5)</f>
        <v/>
      </c>
      <c r="J794" s="5">
        <f>IF(G794=0,Parametros!$E$8,Parametros!$E$6+Parametros!$E$6*(Parametros!$E$7/G794+I794)/(Parametros!$E$6+Parametros!$E$7/G794+I794))</f>
        <v/>
      </c>
      <c r="K794" s="2" t="inlineStr">
        <is>
          <t>2026-10-09 10:40</t>
        </is>
      </c>
      <c r="L794" s="6" t="inlineStr">
        <is>
          <t>Válido</t>
        </is>
      </c>
      <c r="M794" s="2">
        <f>IF(L794="Válido","Sim","Não")</f>
        <v/>
      </c>
      <c r="N794" s="2" t="inlineStr"/>
    </row>
    <row r="795">
      <c r="A795" s="2" t="inlineStr">
        <is>
          <t>6Bracos_2700_R0110_210W_2026-10-09_10_40.csv</t>
        </is>
      </c>
      <c r="B795" s="2" t="inlineStr">
        <is>
          <t>210W_2700RPM_R0110</t>
        </is>
      </c>
      <c r="C795" s="2" t="n">
        <v>210</v>
      </c>
      <c r="D795" s="2" t="n">
        <v>2700</v>
      </c>
      <c r="E795" s="3">
        <f>D795*2/60</f>
        <v/>
      </c>
      <c r="F795" s="2" t="inlineStr">
        <is>
          <t>0110</t>
        </is>
      </c>
      <c r="G795" s="2" t="n">
        <v>6</v>
      </c>
      <c r="H795" s="2">
        <f>INDEX(Parametros!$B$2:$B$9,MATCH(G795,Parametros!$A$2:$A$9,0))</f>
        <v/>
      </c>
      <c r="I795" s="4">
        <f>1/(VALUE(MID(F795,1,1))/Parametros!$E$2+VALUE(MID(F795,2,1))/Parametros!$E$3+VALUE(MID(F795,3,1))/Parametros!$E$4+VALUE(MID(F795,4,1))/Parametros!$E$5)</f>
        <v/>
      </c>
      <c r="J795" s="5">
        <f>IF(G795=0,Parametros!$E$8,Parametros!$E$6+Parametros!$E$6*(Parametros!$E$7/G795+I795)/(Parametros!$E$6+Parametros!$E$7/G795+I795))</f>
        <v/>
      </c>
      <c r="K795" s="2" t="inlineStr">
        <is>
          <t>2026-10-09 10:40</t>
        </is>
      </c>
      <c r="L795" s="6" t="inlineStr">
        <is>
          <t>Válido</t>
        </is>
      </c>
      <c r="M795" s="2">
        <f>IF(L795="Válido","Sim","Não")</f>
        <v/>
      </c>
      <c r="N795" s="2" t="inlineStr"/>
    </row>
    <row r="796">
      <c r="A796" s="2" t="inlineStr">
        <is>
          <t>5Bracos_2700_R0110_210W_2026-10-09_10_40.csv</t>
        </is>
      </c>
      <c r="B796" s="2" t="inlineStr">
        <is>
          <t>210W_2700RPM_R0110</t>
        </is>
      </c>
      <c r="C796" s="2" t="n">
        <v>210</v>
      </c>
      <c r="D796" s="2" t="n">
        <v>2700</v>
      </c>
      <c r="E796" s="3">
        <f>D796*2/60</f>
        <v/>
      </c>
      <c r="F796" s="2" t="inlineStr">
        <is>
          <t>0110</t>
        </is>
      </c>
      <c r="G796" s="2" t="n">
        <v>5</v>
      </c>
      <c r="H796" s="2">
        <f>INDEX(Parametros!$B$2:$B$9,MATCH(G796,Parametros!$A$2:$A$9,0))</f>
        <v/>
      </c>
      <c r="I796" s="4">
        <f>1/(VALUE(MID(F796,1,1))/Parametros!$E$2+VALUE(MID(F796,2,1))/Parametros!$E$3+VALUE(MID(F796,3,1))/Parametros!$E$4+VALUE(MID(F796,4,1))/Parametros!$E$5)</f>
        <v/>
      </c>
      <c r="J796" s="5">
        <f>IF(G796=0,Parametros!$E$8,Parametros!$E$6+Parametros!$E$6*(Parametros!$E$7/G796+I796)/(Parametros!$E$6+Parametros!$E$7/G796+I796))</f>
        <v/>
      </c>
      <c r="K796" s="2" t="inlineStr">
        <is>
          <t>2026-10-09 10:40</t>
        </is>
      </c>
      <c r="L796" s="6" t="inlineStr">
        <is>
          <t>Válido</t>
        </is>
      </c>
      <c r="M796" s="2">
        <f>IF(L796="Válido","Sim","Não")</f>
        <v/>
      </c>
      <c r="N796" s="2" t="inlineStr"/>
    </row>
    <row r="797">
      <c r="A797" s="2" t="inlineStr">
        <is>
          <t>4Bracos_2700_R0110_210W_2026-10-09_10_40.csv</t>
        </is>
      </c>
      <c r="B797" s="2" t="inlineStr">
        <is>
          <t>210W_2700RPM_R0110</t>
        </is>
      </c>
      <c r="C797" s="2" t="n">
        <v>210</v>
      </c>
      <c r="D797" s="2" t="n">
        <v>2700</v>
      </c>
      <c r="E797" s="3">
        <f>D797*2/60</f>
        <v/>
      </c>
      <c r="F797" s="2" t="inlineStr">
        <is>
          <t>0110</t>
        </is>
      </c>
      <c r="G797" s="2" t="n">
        <v>4</v>
      </c>
      <c r="H797" s="2">
        <f>INDEX(Parametros!$B$2:$B$9,MATCH(G797,Parametros!$A$2:$A$9,0))</f>
        <v/>
      </c>
      <c r="I797" s="4">
        <f>1/(VALUE(MID(F797,1,1))/Parametros!$E$2+VALUE(MID(F797,2,1))/Parametros!$E$3+VALUE(MID(F797,3,1))/Parametros!$E$4+VALUE(MID(F797,4,1))/Parametros!$E$5)</f>
        <v/>
      </c>
      <c r="J797" s="5">
        <f>IF(G797=0,Parametros!$E$8,Parametros!$E$6+Parametros!$E$6*(Parametros!$E$7/G797+I797)/(Parametros!$E$6+Parametros!$E$7/G797+I797))</f>
        <v/>
      </c>
      <c r="K797" s="2" t="inlineStr">
        <is>
          <t>2026-10-09 10:40</t>
        </is>
      </c>
      <c r="L797" s="6" t="inlineStr">
        <is>
          <t>Válido</t>
        </is>
      </c>
      <c r="M797" s="2">
        <f>IF(L797="Válido","Sim","Não")</f>
        <v/>
      </c>
      <c r="N797" s="2" t="inlineStr"/>
    </row>
    <row r="798">
      <c r="A798" s="2" t="inlineStr">
        <is>
          <t>3Bracos_2700_R0110_210W_2026-10-09_10_40.csv</t>
        </is>
      </c>
      <c r="B798" s="2" t="inlineStr">
        <is>
          <t>210W_2700RPM_R0110</t>
        </is>
      </c>
      <c r="C798" s="2" t="n">
        <v>210</v>
      </c>
      <c r="D798" s="2" t="n">
        <v>2700</v>
      </c>
      <c r="E798" s="3">
        <f>D798*2/60</f>
        <v/>
      </c>
      <c r="F798" s="2" t="inlineStr">
        <is>
          <t>0110</t>
        </is>
      </c>
      <c r="G798" s="2" t="n">
        <v>3</v>
      </c>
      <c r="H798" s="2">
        <f>INDEX(Parametros!$B$2:$B$9,MATCH(G798,Parametros!$A$2:$A$9,0))</f>
        <v/>
      </c>
      <c r="I798" s="4">
        <f>1/(VALUE(MID(F798,1,1))/Parametros!$E$2+VALUE(MID(F798,2,1))/Parametros!$E$3+VALUE(MID(F798,3,1))/Parametros!$E$4+VALUE(MID(F798,4,1))/Parametros!$E$5)</f>
        <v/>
      </c>
      <c r="J798" s="5">
        <f>IF(G798=0,Parametros!$E$8,Parametros!$E$6+Parametros!$E$6*(Parametros!$E$7/G798+I798)/(Parametros!$E$6+Parametros!$E$7/G798+I798))</f>
        <v/>
      </c>
      <c r="K798" s="2" t="inlineStr">
        <is>
          <t>2026-10-09 10:40</t>
        </is>
      </c>
      <c r="L798" s="6" t="inlineStr">
        <is>
          <t>Válido</t>
        </is>
      </c>
      <c r="M798" s="2">
        <f>IF(L798="Válido","Sim","Não")</f>
        <v/>
      </c>
      <c r="N798" s="2" t="inlineStr"/>
    </row>
    <row r="799">
      <c r="A799" s="2" t="inlineStr">
        <is>
          <t>2Bracos_2700_R0110_210W_2026-10-09_10_40.csv</t>
        </is>
      </c>
      <c r="B799" s="2" t="inlineStr">
        <is>
          <t>210W_2700RPM_R0110</t>
        </is>
      </c>
      <c r="C799" s="2" t="n">
        <v>210</v>
      </c>
      <c r="D799" s="2" t="n">
        <v>2700</v>
      </c>
      <c r="E799" s="3">
        <f>D799*2/60</f>
        <v/>
      </c>
      <c r="F799" s="2" t="inlineStr">
        <is>
          <t>0110</t>
        </is>
      </c>
      <c r="G799" s="2" t="n">
        <v>2</v>
      </c>
      <c r="H799" s="2">
        <f>INDEX(Parametros!$B$2:$B$9,MATCH(G799,Parametros!$A$2:$A$9,0))</f>
        <v/>
      </c>
      <c r="I799" s="4">
        <f>1/(VALUE(MID(F799,1,1))/Parametros!$E$2+VALUE(MID(F799,2,1))/Parametros!$E$3+VALUE(MID(F799,3,1))/Parametros!$E$4+VALUE(MID(F799,4,1))/Parametros!$E$5)</f>
        <v/>
      </c>
      <c r="J799" s="5">
        <f>IF(G799=0,Parametros!$E$8,Parametros!$E$6+Parametros!$E$6*(Parametros!$E$7/G799+I799)/(Parametros!$E$6+Parametros!$E$7/G799+I799))</f>
        <v/>
      </c>
      <c r="K799" s="2" t="inlineStr">
        <is>
          <t>2026-10-09 10:40</t>
        </is>
      </c>
      <c r="L799" s="6" t="inlineStr">
        <is>
          <t>Válido</t>
        </is>
      </c>
      <c r="M799" s="2">
        <f>IF(L799="Válido","Sim","Não")</f>
        <v/>
      </c>
      <c r="N799" s="2" t="inlineStr"/>
    </row>
    <row r="800">
      <c r="A800" s="2" t="inlineStr">
        <is>
          <t>1Bracos_2700_R0110_210W_2026-10-09_10_40.csv</t>
        </is>
      </c>
      <c r="B800" s="2" t="inlineStr">
        <is>
          <t>210W_2700RPM_R0110</t>
        </is>
      </c>
      <c r="C800" s="2" t="n">
        <v>210</v>
      </c>
      <c r="D800" s="2" t="n">
        <v>2700</v>
      </c>
      <c r="E800" s="3">
        <f>D800*2/60</f>
        <v/>
      </c>
      <c r="F800" s="2" t="inlineStr">
        <is>
          <t>0110</t>
        </is>
      </c>
      <c r="G800" s="2" t="n">
        <v>1</v>
      </c>
      <c r="H800" s="2">
        <f>INDEX(Parametros!$B$2:$B$9,MATCH(G800,Parametros!$A$2:$A$9,0))</f>
        <v/>
      </c>
      <c r="I800" s="4">
        <f>1/(VALUE(MID(F800,1,1))/Parametros!$E$2+VALUE(MID(F800,2,1))/Parametros!$E$3+VALUE(MID(F800,3,1))/Parametros!$E$4+VALUE(MID(F800,4,1))/Parametros!$E$5)</f>
        <v/>
      </c>
      <c r="J800" s="5">
        <f>IF(G800=0,Parametros!$E$8,Parametros!$E$6+Parametros!$E$6*(Parametros!$E$7/G800+I800)/(Parametros!$E$6+Parametros!$E$7/G800+I800))</f>
        <v/>
      </c>
      <c r="K800" s="2" t="inlineStr">
        <is>
          <t>2026-10-09 10:40</t>
        </is>
      </c>
      <c r="L800" s="6" t="inlineStr">
        <is>
          <t>Válido</t>
        </is>
      </c>
      <c r="M800" s="2">
        <f>IF(L800="Válido","Sim","Não")</f>
        <v/>
      </c>
      <c r="N800" s="2" t="inlineStr"/>
    </row>
    <row r="801">
      <c r="A801" s="2" t="inlineStr">
        <is>
          <t>0Bracos_2700_R0110_210W_2026-10-09_10_40.csv</t>
        </is>
      </c>
      <c r="B801" s="2" t="inlineStr">
        <is>
          <t>210W_2700RPM_R0110</t>
        </is>
      </c>
      <c r="C801" s="2" t="n">
        <v>210</v>
      </c>
      <c r="D801" s="2" t="n">
        <v>2700</v>
      </c>
      <c r="E801" s="3">
        <f>D801*2/60</f>
        <v/>
      </c>
      <c r="F801" s="2" t="inlineStr">
        <is>
          <t>0110</t>
        </is>
      </c>
      <c r="G801" s="2" t="n">
        <v>0</v>
      </c>
      <c r="H801" s="2">
        <f>INDEX(Parametros!$B$2:$B$9,MATCH(G801,Parametros!$A$2:$A$9,0))</f>
        <v/>
      </c>
      <c r="I801" s="4">
        <f>1/(VALUE(MID(F801,1,1))/Parametros!$E$2+VALUE(MID(F801,2,1))/Parametros!$E$3+VALUE(MID(F801,3,1))/Parametros!$E$4+VALUE(MID(F801,4,1))/Parametros!$E$5)</f>
        <v/>
      </c>
      <c r="J801" s="5">
        <f>IF(G801=0,Parametros!$E$8,Parametros!$E$6+Parametros!$E$6*(Parametros!$E$7/G801+I801)/(Parametros!$E$6+Parametros!$E$7/G801+I801))</f>
        <v/>
      </c>
      <c r="K801" s="2" t="inlineStr">
        <is>
          <t>2026-10-09 10:40</t>
        </is>
      </c>
      <c r="L801" s="6" t="inlineStr">
        <is>
          <t>Válido</t>
        </is>
      </c>
      <c r="M801" s="2">
        <f>IF(L801="Válido","Sim","Não")</f>
        <v/>
      </c>
      <c r="N801" s="2" t="inlineStr"/>
    </row>
    <row r="802">
      <c r="A802" s="2" t="inlineStr">
        <is>
          <t>7Bracos_2700_R0111_210W_2026-10-09_10_40.csv</t>
        </is>
      </c>
      <c r="B802" s="2" t="inlineStr">
        <is>
          <t>210W_2700RPM_R0111</t>
        </is>
      </c>
      <c r="C802" s="2" t="n">
        <v>210</v>
      </c>
      <c r="D802" s="2" t="n">
        <v>2700</v>
      </c>
      <c r="E802" s="3">
        <f>D802*2/60</f>
        <v/>
      </c>
      <c r="F802" s="2" t="inlineStr">
        <is>
          <t>0111</t>
        </is>
      </c>
      <c r="G802" s="2" t="n">
        <v>7</v>
      </c>
      <c r="H802" s="2">
        <f>INDEX(Parametros!$B$2:$B$9,MATCH(G802,Parametros!$A$2:$A$9,0))</f>
        <v/>
      </c>
      <c r="I802" s="4">
        <f>1/(VALUE(MID(F802,1,1))/Parametros!$E$2+VALUE(MID(F802,2,1))/Parametros!$E$3+VALUE(MID(F802,3,1))/Parametros!$E$4+VALUE(MID(F802,4,1))/Parametros!$E$5)</f>
        <v/>
      </c>
      <c r="J802" s="5">
        <f>IF(G802=0,Parametros!$E$8,Parametros!$E$6+Parametros!$E$6*(Parametros!$E$7/G802+I802)/(Parametros!$E$6+Parametros!$E$7/G802+I802))</f>
        <v/>
      </c>
      <c r="K802" s="2" t="inlineStr">
        <is>
          <t>2026-10-09 10:40</t>
        </is>
      </c>
      <c r="L802" s="6" t="inlineStr">
        <is>
          <t>Válido</t>
        </is>
      </c>
      <c r="M802" s="2">
        <f>IF(L802="Válido","Sim","Não")</f>
        <v/>
      </c>
      <c r="N802" s="2" t="inlineStr"/>
    </row>
    <row r="803">
      <c r="A803" s="2" t="inlineStr">
        <is>
          <t>6Bracos_2700_R0111_210W_2026-10-09_10_40.csv</t>
        </is>
      </c>
      <c r="B803" s="2" t="inlineStr">
        <is>
          <t>210W_2700RPM_R0111</t>
        </is>
      </c>
      <c r="C803" s="2" t="n">
        <v>210</v>
      </c>
      <c r="D803" s="2" t="n">
        <v>2700</v>
      </c>
      <c r="E803" s="3">
        <f>D803*2/60</f>
        <v/>
      </c>
      <c r="F803" s="2" t="inlineStr">
        <is>
          <t>0111</t>
        </is>
      </c>
      <c r="G803" s="2" t="n">
        <v>6</v>
      </c>
      <c r="H803" s="2">
        <f>INDEX(Parametros!$B$2:$B$9,MATCH(G803,Parametros!$A$2:$A$9,0))</f>
        <v/>
      </c>
      <c r="I803" s="4">
        <f>1/(VALUE(MID(F803,1,1))/Parametros!$E$2+VALUE(MID(F803,2,1))/Parametros!$E$3+VALUE(MID(F803,3,1))/Parametros!$E$4+VALUE(MID(F803,4,1))/Parametros!$E$5)</f>
        <v/>
      </c>
      <c r="J803" s="5">
        <f>IF(G803=0,Parametros!$E$8,Parametros!$E$6+Parametros!$E$6*(Parametros!$E$7/G803+I803)/(Parametros!$E$6+Parametros!$E$7/G803+I803))</f>
        <v/>
      </c>
      <c r="K803" s="2" t="inlineStr">
        <is>
          <t>2026-10-09 10:40</t>
        </is>
      </c>
      <c r="L803" s="6" t="inlineStr">
        <is>
          <t>Válido</t>
        </is>
      </c>
      <c r="M803" s="2">
        <f>IF(L803="Válido","Sim","Não")</f>
        <v/>
      </c>
      <c r="N803" s="2" t="inlineStr"/>
    </row>
    <row r="804">
      <c r="A804" s="2" t="inlineStr">
        <is>
          <t>5Bracos_2700_R0111_210W_2026-10-09_10_40.csv</t>
        </is>
      </c>
      <c r="B804" s="2" t="inlineStr">
        <is>
          <t>210W_2700RPM_R0111</t>
        </is>
      </c>
      <c r="C804" s="2" t="n">
        <v>210</v>
      </c>
      <c r="D804" s="2" t="n">
        <v>2700</v>
      </c>
      <c r="E804" s="3">
        <f>D804*2/60</f>
        <v/>
      </c>
      <c r="F804" s="2" t="inlineStr">
        <is>
          <t>0111</t>
        </is>
      </c>
      <c r="G804" s="2" t="n">
        <v>5</v>
      </c>
      <c r="H804" s="2">
        <f>INDEX(Parametros!$B$2:$B$9,MATCH(G804,Parametros!$A$2:$A$9,0))</f>
        <v/>
      </c>
      <c r="I804" s="4">
        <f>1/(VALUE(MID(F804,1,1))/Parametros!$E$2+VALUE(MID(F804,2,1))/Parametros!$E$3+VALUE(MID(F804,3,1))/Parametros!$E$4+VALUE(MID(F804,4,1))/Parametros!$E$5)</f>
        <v/>
      </c>
      <c r="J804" s="5">
        <f>IF(G804=0,Parametros!$E$8,Parametros!$E$6+Parametros!$E$6*(Parametros!$E$7/G804+I804)/(Parametros!$E$6+Parametros!$E$7/G804+I804))</f>
        <v/>
      </c>
      <c r="K804" s="2" t="inlineStr">
        <is>
          <t>2026-10-09 10:40</t>
        </is>
      </c>
      <c r="L804" s="6" t="inlineStr">
        <is>
          <t>Válido</t>
        </is>
      </c>
      <c r="M804" s="2">
        <f>IF(L804="Válido","Sim","Não")</f>
        <v/>
      </c>
      <c r="N804" s="2" t="inlineStr"/>
    </row>
    <row r="805">
      <c r="A805" s="2" t="inlineStr">
        <is>
          <t>4Bracos_2700_R0111_210W_2026-10-09_10_40.csv</t>
        </is>
      </c>
      <c r="B805" s="2" t="inlineStr">
        <is>
          <t>210W_2700RPM_R0111</t>
        </is>
      </c>
      <c r="C805" s="2" t="n">
        <v>210</v>
      </c>
      <c r="D805" s="2" t="n">
        <v>2700</v>
      </c>
      <c r="E805" s="3">
        <f>D805*2/60</f>
        <v/>
      </c>
      <c r="F805" s="2" t="inlineStr">
        <is>
          <t>0111</t>
        </is>
      </c>
      <c r="G805" s="2" t="n">
        <v>4</v>
      </c>
      <c r="H805" s="2">
        <f>INDEX(Parametros!$B$2:$B$9,MATCH(G805,Parametros!$A$2:$A$9,0))</f>
        <v/>
      </c>
      <c r="I805" s="4">
        <f>1/(VALUE(MID(F805,1,1))/Parametros!$E$2+VALUE(MID(F805,2,1))/Parametros!$E$3+VALUE(MID(F805,3,1))/Parametros!$E$4+VALUE(MID(F805,4,1))/Parametros!$E$5)</f>
        <v/>
      </c>
      <c r="J805" s="5">
        <f>IF(G805=0,Parametros!$E$8,Parametros!$E$6+Parametros!$E$6*(Parametros!$E$7/G805+I805)/(Parametros!$E$6+Parametros!$E$7/G805+I805))</f>
        <v/>
      </c>
      <c r="K805" s="2" t="inlineStr">
        <is>
          <t>2026-10-09 10:40</t>
        </is>
      </c>
      <c r="L805" s="6" t="inlineStr">
        <is>
          <t>Válido</t>
        </is>
      </c>
      <c r="M805" s="2">
        <f>IF(L805="Válido","Sim","Não")</f>
        <v/>
      </c>
      <c r="N805" s="2" t="inlineStr"/>
    </row>
    <row r="806">
      <c r="A806" s="2" t="inlineStr">
        <is>
          <t>3Bracos_2700_R0111_210W_2026-10-09_10_40.csv</t>
        </is>
      </c>
      <c r="B806" s="2" t="inlineStr">
        <is>
          <t>210W_2700RPM_R0111</t>
        </is>
      </c>
      <c r="C806" s="2" t="n">
        <v>210</v>
      </c>
      <c r="D806" s="2" t="n">
        <v>2700</v>
      </c>
      <c r="E806" s="3">
        <f>D806*2/60</f>
        <v/>
      </c>
      <c r="F806" s="2" t="inlineStr">
        <is>
          <t>0111</t>
        </is>
      </c>
      <c r="G806" s="2" t="n">
        <v>3</v>
      </c>
      <c r="H806" s="2">
        <f>INDEX(Parametros!$B$2:$B$9,MATCH(G806,Parametros!$A$2:$A$9,0))</f>
        <v/>
      </c>
      <c r="I806" s="4">
        <f>1/(VALUE(MID(F806,1,1))/Parametros!$E$2+VALUE(MID(F806,2,1))/Parametros!$E$3+VALUE(MID(F806,3,1))/Parametros!$E$4+VALUE(MID(F806,4,1))/Parametros!$E$5)</f>
        <v/>
      </c>
      <c r="J806" s="5">
        <f>IF(G806=0,Parametros!$E$8,Parametros!$E$6+Parametros!$E$6*(Parametros!$E$7/G806+I806)/(Parametros!$E$6+Parametros!$E$7/G806+I806))</f>
        <v/>
      </c>
      <c r="K806" s="2" t="inlineStr">
        <is>
          <t>2026-10-09 10:40</t>
        </is>
      </c>
      <c r="L806" s="6" t="inlineStr">
        <is>
          <t>Válido</t>
        </is>
      </c>
      <c r="M806" s="2">
        <f>IF(L806="Válido","Sim","Não")</f>
        <v/>
      </c>
      <c r="N806" s="2" t="inlineStr"/>
    </row>
    <row r="807">
      <c r="A807" s="2" t="inlineStr">
        <is>
          <t>2Bracos_2700_R0111_210W_2026-10-09_10_40.csv</t>
        </is>
      </c>
      <c r="B807" s="2" t="inlineStr">
        <is>
          <t>210W_2700RPM_R0111</t>
        </is>
      </c>
      <c r="C807" s="2" t="n">
        <v>210</v>
      </c>
      <c r="D807" s="2" t="n">
        <v>2700</v>
      </c>
      <c r="E807" s="3">
        <f>D807*2/60</f>
        <v/>
      </c>
      <c r="F807" s="2" t="inlineStr">
        <is>
          <t>0111</t>
        </is>
      </c>
      <c r="G807" s="2" t="n">
        <v>2</v>
      </c>
      <c r="H807" s="2">
        <f>INDEX(Parametros!$B$2:$B$9,MATCH(G807,Parametros!$A$2:$A$9,0))</f>
        <v/>
      </c>
      <c r="I807" s="4">
        <f>1/(VALUE(MID(F807,1,1))/Parametros!$E$2+VALUE(MID(F807,2,1))/Parametros!$E$3+VALUE(MID(F807,3,1))/Parametros!$E$4+VALUE(MID(F807,4,1))/Parametros!$E$5)</f>
        <v/>
      </c>
      <c r="J807" s="5">
        <f>IF(G807=0,Parametros!$E$8,Parametros!$E$6+Parametros!$E$6*(Parametros!$E$7/G807+I807)/(Parametros!$E$6+Parametros!$E$7/G807+I807))</f>
        <v/>
      </c>
      <c r="K807" s="2" t="inlineStr">
        <is>
          <t>2026-10-09 10:40</t>
        </is>
      </c>
      <c r="L807" s="6" t="inlineStr">
        <is>
          <t>Válido</t>
        </is>
      </c>
      <c r="M807" s="2">
        <f>IF(L807="Válido","Sim","Não")</f>
        <v/>
      </c>
      <c r="N807" s="2" t="inlineStr"/>
    </row>
    <row r="808">
      <c r="A808" s="2" t="inlineStr">
        <is>
          <t>1Bracos_2700_R0111_210W_2026-10-09_10_40.csv</t>
        </is>
      </c>
      <c r="B808" s="2" t="inlineStr">
        <is>
          <t>210W_2700RPM_R0111</t>
        </is>
      </c>
      <c r="C808" s="2" t="n">
        <v>210</v>
      </c>
      <c r="D808" s="2" t="n">
        <v>2700</v>
      </c>
      <c r="E808" s="3">
        <f>D808*2/60</f>
        <v/>
      </c>
      <c r="F808" s="2" t="inlineStr">
        <is>
          <t>0111</t>
        </is>
      </c>
      <c r="G808" s="2" t="n">
        <v>1</v>
      </c>
      <c r="H808" s="2">
        <f>INDEX(Parametros!$B$2:$B$9,MATCH(G808,Parametros!$A$2:$A$9,0))</f>
        <v/>
      </c>
      <c r="I808" s="4">
        <f>1/(VALUE(MID(F808,1,1))/Parametros!$E$2+VALUE(MID(F808,2,1))/Parametros!$E$3+VALUE(MID(F808,3,1))/Parametros!$E$4+VALUE(MID(F808,4,1))/Parametros!$E$5)</f>
        <v/>
      </c>
      <c r="J808" s="5">
        <f>IF(G808=0,Parametros!$E$8,Parametros!$E$6+Parametros!$E$6*(Parametros!$E$7/G808+I808)/(Parametros!$E$6+Parametros!$E$7/G808+I808))</f>
        <v/>
      </c>
      <c r="K808" s="2" t="inlineStr">
        <is>
          <t>2026-10-09 10:40</t>
        </is>
      </c>
      <c r="L808" s="6" t="inlineStr">
        <is>
          <t>Válido</t>
        </is>
      </c>
      <c r="M808" s="2">
        <f>IF(L808="Válido","Sim","Não")</f>
        <v/>
      </c>
      <c r="N808" s="2" t="inlineStr"/>
    </row>
    <row r="809">
      <c r="A809" s="2" t="inlineStr">
        <is>
          <t>0Bracos_2700_R0111_210W_2026-10-09_10_40.csv</t>
        </is>
      </c>
      <c r="B809" s="2" t="inlineStr">
        <is>
          <t>210W_2700RPM_R0111</t>
        </is>
      </c>
      <c r="C809" s="2" t="n">
        <v>210</v>
      </c>
      <c r="D809" s="2" t="n">
        <v>2700</v>
      </c>
      <c r="E809" s="3">
        <f>D809*2/60</f>
        <v/>
      </c>
      <c r="F809" s="2" t="inlineStr">
        <is>
          <t>0111</t>
        </is>
      </c>
      <c r="G809" s="2" t="n">
        <v>0</v>
      </c>
      <c r="H809" s="2">
        <f>INDEX(Parametros!$B$2:$B$9,MATCH(G809,Parametros!$A$2:$A$9,0))</f>
        <v/>
      </c>
      <c r="I809" s="4">
        <f>1/(VALUE(MID(F809,1,1))/Parametros!$E$2+VALUE(MID(F809,2,1))/Parametros!$E$3+VALUE(MID(F809,3,1))/Parametros!$E$4+VALUE(MID(F809,4,1))/Parametros!$E$5)</f>
        <v/>
      </c>
      <c r="J809" s="5">
        <f>IF(G809=0,Parametros!$E$8,Parametros!$E$6+Parametros!$E$6*(Parametros!$E$7/G809+I809)/(Parametros!$E$6+Parametros!$E$7/G809+I809))</f>
        <v/>
      </c>
      <c r="K809" s="2" t="inlineStr">
        <is>
          <t>2026-10-09 10:40</t>
        </is>
      </c>
      <c r="L809" s="6" t="inlineStr">
        <is>
          <t>Válido</t>
        </is>
      </c>
      <c r="M809" s="2">
        <f>IF(L809="Válido","Sim","Não")</f>
        <v/>
      </c>
      <c r="N809" s="2" t="inlineStr"/>
    </row>
    <row r="810">
      <c r="A810" s="2" t="inlineStr">
        <is>
          <t>7Bracos_2700_R1000_210W_2026-10-09_10_40.csv</t>
        </is>
      </c>
      <c r="B810" s="2" t="inlineStr">
        <is>
          <t>210W_2700RPM_R1000</t>
        </is>
      </c>
      <c r="C810" s="2" t="n">
        <v>210</v>
      </c>
      <c r="D810" s="2" t="n">
        <v>2700</v>
      </c>
      <c r="E810" s="3">
        <f>D810*2/60</f>
        <v/>
      </c>
      <c r="F810" s="2" t="inlineStr">
        <is>
          <t>1000</t>
        </is>
      </c>
      <c r="G810" s="2" t="n">
        <v>7</v>
      </c>
      <c r="H810" s="2">
        <f>INDEX(Parametros!$B$2:$B$9,MATCH(G810,Parametros!$A$2:$A$9,0))</f>
        <v/>
      </c>
      <c r="I810" s="4">
        <f>1/(VALUE(MID(F810,1,1))/Parametros!$E$2+VALUE(MID(F810,2,1))/Parametros!$E$3+VALUE(MID(F810,3,1))/Parametros!$E$4+VALUE(MID(F810,4,1))/Parametros!$E$5)</f>
        <v/>
      </c>
      <c r="J810" s="5">
        <f>IF(G810=0,Parametros!$E$8,Parametros!$E$6+Parametros!$E$6*(Parametros!$E$7/G810+I810)/(Parametros!$E$6+Parametros!$E$7/G810+I810))</f>
        <v/>
      </c>
      <c r="K810" s="2" t="inlineStr">
        <is>
          <t>2026-10-09 10:40</t>
        </is>
      </c>
      <c r="L810" s="6" t="inlineStr">
        <is>
          <t>Válido</t>
        </is>
      </c>
      <c r="M810" s="2">
        <f>IF(L810="Válido","Sim","Não")</f>
        <v/>
      </c>
      <c r="N810" s="2" t="inlineStr"/>
    </row>
    <row r="811">
      <c r="A811" s="2" t="inlineStr">
        <is>
          <t>6Bracos_2700_R1000_210W_2026-10-09_10_40.csv</t>
        </is>
      </c>
      <c r="B811" s="2" t="inlineStr">
        <is>
          <t>210W_2700RPM_R1000</t>
        </is>
      </c>
      <c r="C811" s="2" t="n">
        <v>210</v>
      </c>
      <c r="D811" s="2" t="n">
        <v>2700</v>
      </c>
      <c r="E811" s="3">
        <f>D811*2/60</f>
        <v/>
      </c>
      <c r="F811" s="2" t="inlineStr">
        <is>
          <t>1000</t>
        </is>
      </c>
      <c r="G811" s="2" t="n">
        <v>6</v>
      </c>
      <c r="H811" s="2">
        <f>INDEX(Parametros!$B$2:$B$9,MATCH(G811,Parametros!$A$2:$A$9,0))</f>
        <v/>
      </c>
      <c r="I811" s="4">
        <f>1/(VALUE(MID(F811,1,1))/Parametros!$E$2+VALUE(MID(F811,2,1))/Parametros!$E$3+VALUE(MID(F811,3,1))/Parametros!$E$4+VALUE(MID(F811,4,1))/Parametros!$E$5)</f>
        <v/>
      </c>
      <c r="J811" s="5">
        <f>IF(G811=0,Parametros!$E$8,Parametros!$E$6+Parametros!$E$6*(Parametros!$E$7/G811+I811)/(Parametros!$E$6+Parametros!$E$7/G811+I811))</f>
        <v/>
      </c>
      <c r="K811" s="2" t="inlineStr">
        <is>
          <t>2026-10-09 10:40</t>
        </is>
      </c>
      <c r="L811" s="6" t="inlineStr">
        <is>
          <t>Válido</t>
        </is>
      </c>
      <c r="M811" s="2">
        <f>IF(L811="Válido","Sim","Não")</f>
        <v/>
      </c>
      <c r="N811" s="2" t="inlineStr"/>
    </row>
    <row r="812">
      <c r="A812" s="2" t="inlineStr">
        <is>
          <t>5Bracos_2700_R1000_210W_2026-10-09_10_40.csv</t>
        </is>
      </c>
      <c r="B812" s="2" t="inlineStr">
        <is>
          <t>210W_2700RPM_R1000</t>
        </is>
      </c>
      <c r="C812" s="2" t="n">
        <v>210</v>
      </c>
      <c r="D812" s="2" t="n">
        <v>2700</v>
      </c>
      <c r="E812" s="3">
        <f>D812*2/60</f>
        <v/>
      </c>
      <c r="F812" s="2" t="inlineStr">
        <is>
          <t>1000</t>
        </is>
      </c>
      <c r="G812" s="2" t="n">
        <v>5</v>
      </c>
      <c r="H812" s="2">
        <f>INDEX(Parametros!$B$2:$B$9,MATCH(G812,Parametros!$A$2:$A$9,0))</f>
        <v/>
      </c>
      <c r="I812" s="4">
        <f>1/(VALUE(MID(F812,1,1))/Parametros!$E$2+VALUE(MID(F812,2,1))/Parametros!$E$3+VALUE(MID(F812,3,1))/Parametros!$E$4+VALUE(MID(F812,4,1))/Parametros!$E$5)</f>
        <v/>
      </c>
      <c r="J812" s="5">
        <f>IF(G812=0,Parametros!$E$8,Parametros!$E$6+Parametros!$E$6*(Parametros!$E$7/G812+I812)/(Parametros!$E$6+Parametros!$E$7/G812+I812))</f>
        <v/>
      </c>
      <c r="K812" s="2" t="inlineStr">
        <is>
          <t>2026-10-09 10:40</t>
        </is>
      </c>
      <c r="L812" s="6" t="inlineStr">
        <is>
          <t>Válido</t>
        </is>
      </c>
      <c r="M812" s="2">
        <f>IF(L812="Válido","Sim","Não")</f>
        <v/>
      </c>
      <c r="N812" s="2" t="inlineStr"/>
    </row>
    <row r="813">
      <c r="A813" s="2" t="inlineStr">
        <is>
          <t>4Bracos_2700_R1000_210W_2026-10-09_10_40.csv</t>
        </is>
      </c>
      <c r="B813" s="2" t="inlineStr">
        <is>
          <t>210W_2700RPM_R1000</t>
        </is>
      </c>
      <c r="C813" s="2" t="n">
        <v>210</v>
      </c>
      <c r="D813" s="2" t="n">
        <v>2700</v>
      </c>
      <c r="E813" s="3">
        <f>D813*2/60</f>
        <v/>
      </c>
      <c r="F813" s="2" t="inlineStr">
        <is>
          <t>1000</t>
        </is>
      </c>
      <c r="G813" s="2" t="n">
        <v>4</v>
      </c>
      <c r="H813" s="2">
        <f>INDEX(Parametros!$B$2:$B$9,MATCH(G813,Parametros!$A$2:$A$9,0))</f>
        <v/>
      </c>
      <c r="I813" s="4">
        <f>1/(VALUE(MID(F813,1,1))/Parametros!$E$2+VALUE(MID(F813,2,1))/Parametros!$E$3+VALUE(MID(F813,3,1))/Parametros!$E$4+VALUE(MID(F813,4,1))/Parametros!$E$5)</f>
        <v/>
      </c>
      <c r="J813" s="5">
        <f>IF(G813=0,Parametros!$E$8,Parametros!$E$6+Parametros!$E$6*(Parametros!$E$7/G813+I813)/(Parametros!$E$6+Parametros!$E$7/G813+I813))</f>
        <v/>
      </c>
      <c r="K813" s="2" t="inlineStr">
        <is>
          <t>2026-10-09 10:40</t>
        </is>
      </c>
      <c r="L813" s="6" t="inlineStr">
        <is>
          <t>Válido</t>
        </is>
      </c>
      <c r="M813" s="2">
        <f>IF(L813="Válido","Sim","Não")</f>
        <v/>
      </c>
      <c r="N813" s="2" t="inlineStr"/>
    </row>
    <row r="814">
      <c r="A814" s="2" t="inlineStr">
        <is>
          <t>3Bracos_2700_R1000_210W_2026-10-09_10_40.csv</t>
        </is>
      </c>
      <c r="B814" s="2" t="inlineStr">
        <is>
          <t>210W_2700RPM_R1000</t>
        </is>
      </c>
      <c r="C814" s="2" t="n">
        <v>210</v>
      </c>
      <c r="D814" s="2" t="n">
        <v>2700</v>
      </c>
      <c r="E814" s="3">
        <f>D814*2/60</f>
        <v/>
      </c>
      <c r="F814" s="2" t="inlineStr">
        <is>
          <t>1000</t>
        </is>
      </c>
      <c r="G814" s="2" t="n">
        <v>3</v>
      </c>
      <c r="H814" s="2">
        <f>INDEX(Parametros!$B$2:$B$9,MATCH(G814,Parametros!$A$2:$A$9,0))</f>
        <v/>
      </c>
      <c r="I814" s="4">
        <f>1/(VALUE(MID(F814,1,1))/Parametros!$E$2+VALUE(MID(F814,2,1))/Parametros!$E$3+VALUE(MID(F814,3,1))/Parametros!$E$4+VALUE(MID(F814,4,1))/Parametros!$E$5)</f>
        <v/>
      </c>
      <c r="J814" s="5">
        <f>IF(G814=0,Parametros!$E$8,Parametros!$E$6+Parametros!$E$6*(Parametros!$E$7/G814+I814)/(Parametros!$E$6+Parametros!$E$7/G814+I814))</f>
        <v/>
      </c>
      <c r="K814" s="2" t="inlineStr">
        <is>
          <t>2026-10-09 10:40</t>
        </is>
      </c>
      <c r="L814" s="6" t="inlineStr">
        <is>
          <t>Válido</t>
        </is>
      </c>
      <c r="M814" s="2">
        <f>IF(L814="Válido","Sim","Não")</f>
        <v/>
      </c>
      <c r="N814" s="2" t="inlineStr"/>
    </row>
    <row r="815">
      <c r="A815" s="2" t="inlineStr">
        <is>
          <t>2Bracos_2700_R1000_210W_2026-10-09_10_40.csv</t>
        </is>
      </c>
      <c r="B815" s="2" t="inlineStr">
        <is>
          <t>210W_2700RPM_R1000</t>
        </is>
      </c>
      <c r="C815" s="2" t="n">
        <v>210</v>
      </c>
      <c r="D815" s="2" t="n">
        <v>2700</v>
      </c>
      <c r="E815" s="3">
        <f>D815*2/60</f>
        <v/>
      </c>
      <c r="F815" s="2" t="inlineStr">
        <is>
          <t>1000</t>
        </is>
      </c>
      <c r="G815" s="2" t="n">
        <v>2</v>
      </c>
      <c r="H815" s="2">
        <f>INDEX(Parametros!$B$2:$B$9,MATCH(G815,Parametros!$A$2:$A$9,0))</f>
        <v/>
      </c>
      <c r="I815" s="4">
        <f>1/(VALUE(MID(F815,1,1))/Parametros!$E$2+VALUE(MID(F815,2,1))/Parametros!$E$3+VALUE(MID(F815,3,1))/Parametros!$E$4+VALUE(MID(F815,4,1))/Parametros!$E$5)</f>
        <v/>
      </c>
      <c r="J815" s="5">
        <f>IF(G815=0,Parametros!$E$8,Parametros!$E$6+Parametros!$E$6*(Parametros!$E$7/G815+I815)/(Parametros!$E$6+Parametros!$E$7/G815+I815))</f>
        <v/>
      </c>
      <c r="K815" s="2" t="inlineStr">
        <is>
          <t>2026-10-09 10:40</t>
        </is>
      </c>
      <c r="L815" s="6" t="inlineStr">
        <is>
          <t>Válido</t>
        </is>
      </c>
      <c r="M815" s="2">
        <f>IF(L815="Válido","Sim","Não")</f>
        <v/>
      </c>
      <c r="N815" s="2" t="inlineStr"/>
    </row>
    <row r="816">
      <c r="A816" s="2" t="inlineStr">
        <is>
          <t>1Bracos_2700_R1000_210W_2026-10-09_10_40.csv</t>
        </is>
      </c>
      <c r="B816" s="2" t="inlineStr">
        <is>
          <t>210W_2700RPM_R1000</t>
        </is>
      </c>
      <c r="C816" s="2" t="n">
        <v>210</v>
      </c>
      <c r="D816" s="2" t="n">
        <v>2700</v>
      </c>
      <c r="E816" s="3">
        <f>D816*2/60</f>
        <v/>
      </c>
      <c r="F816" s="2" t="inlineStr">
        <is>
          <t>1000</t>
        </is>
      </c>
      <c r="G816" s="2" t="n">
        <v>1</v>
      </c>
      <c r="H816" s="2">
        <f>INDEX(Parametros!$B$2:$B$9,MATCH(G816,Parametros!$A$2:$A$9,0))</f>
        <v/>
      </c>
      <c r="I816" s="4">
        <f>1/(VALUE(MID(F816,1,1))/Parametros!$E$2+VALUE(MID(F816,2,1))/Parametros!$E$3+VALUE(MID(F816,3,1))/Parametros!$E$4+VALUE(MID(F816,4,1))/Parametros!$E$5)</f>
        <v/>
      </c>
      <c r="J816" s="5">
        <f>IF(G816=0,Parametros!$E$8,Parametros!$E$6+Parametros!$E$6*(Parametros!$E$7/G816+I816)/(Parametros!$E$6+Parametros!$E$7/G816+I816))</f>
        <v/>
      </c>
      <c r="K816" s="2" t="inlineStr">
        <is>
          <t>2026-10-09 10:40</t>
        </is>
      </c>
      <c r="L816" s="6" t="inlineStr">
        <is>
          <t>Válido</t>
        </is>
      </c>
      <c r="M816" s="2">
        <f>IF(L816="Válido","Sim","Não")</f>
        <v/>
      </c>
      <c r="N816" s="2" t="inlineStr"/>
    </row>
    <row r="817">
      <c r="A817" s="2" t="inlineStr">
        <is>
          <t>0Bracos_2700_R1000_210W_2026-10-09_10_40.csv</t>
        </is>
      </c>
      <c r="B817" s="2" t="inlineStr">
        <is>
          <t>210W_2700RPM_R1000</t>
        </is>
      </c>
      <c r="C817" s="2" t="n">
        <v>210</v>
      </c>
      <c r="D817" s="2" t="n">
        <v>2700</v>
      </c>
      <c r="E817" s="3">
        <f>D817*2/60</f>
        <v/>
      </c>
      <c r="F817" s="2" t="inlineStr">
        <is>
          <t>1000</t>
        </is>
      </c>
      <c r="G817" s="2" t="n">
        <v>0</v>
      </c>
      <c r="H817" s="2">
        <f>INDEX(Parametros!$B$2:$B$9,MATCH(G817,Parametros!$A$2:$A$9,0))</f>
        <v/>
      </c>
      <c r="I817" s="4">
        <f>1/(VALUE(MID(F817,1,1))/Parametros!$E$2+VALUE(MID(F817,2,1))/Parametros!$E$3+VALUE(MID(F817,3,1))/Parametros!$E$4+VALUE(MID(F817,4,1))/Parametros!$E$5)</f>
        <v/>
      </c>
      <c r="J817" s="5">
        <f>IF(G817=0,Parametros!$E$8,Parametros!$E$6+Parametros!$E$6*(Parametros!$E$7/G817+I817)/(Parametros!$E$6+Parametros!$E$7/G817+I817))</f>
        <v/>
      </c>
      <c r="K817" s="2" t="inlineStr">
        <is>
          <t>2026-10-09 10:40</t>
        </is>
      </c>
      <c r="L817" s="6" t="inlineStr">
        <is>
          <t>Válido</t>
        </is>
      </c>
      <c r="M817" s="2">
        <f>IF(L817="Válido","Sim","Não")</f>
        <v/>
      </c>
      <c r="N817" s="2" t="inlineStr"/>
    </row>
    <row r="818">
      <c r="A818" s="2" t="inlineStr">
        <is>
          <t>7Bracos_2700_R1001_210W_2026-10-09_10_40.csv</t>
        </is>
      </c>
      <c r="B818" s="2" t="inlineStr">
        <is>
          <t>210W_2700RPM_R1001</t>
        </is>
      </c>
      <c r="C818" s="2" t="n">
        <v>210</v>
      </c>
      <c r="D818" s="2" t="n">
        <v>2700</v>
      </c>
      <c r="E818" s="3">
        <f>D818*2/60</f>
        <v/>
      </c>
      <c r="F818" s="2" t="inlineStr">
        <is>
          <t>1001</t>
        </is>
      </c>
      <c r="G818" s="2" t="n">
        <v>7</v>
      </c>
      <c r="H818" s="2">
        <f>INDEX(Parametros!$B$2:$B$9,MATCH(G818,Parametros!$A$2:$A$9,0))</f>
        <v/>
      </c>
      <c r="I818" s="4">
        <f>1/(VALUE(MID(F818,1,1))/Parametros!$E$2+VALUE(MID(F818,2,1))/Parametros!$E$3+VALUE(MID(F818,3,1))/Parametros!$E$4+VALUE(MID(F818,4,1))/Parametros!$E$5)</f>
        <v/>
      </c>
      <c r="J818" s="5">
        <f>IF(G818=0,Parametros!$E$8,Parametros!$E$6+Parametros!$E$6*(Parametros!$E$7/G818+I818)/(Parametros!$E$6+Parametros!$E$7/G818+I818))</f>
        <v/>
      </c>
      <c r="K818" s="2" t="inlineStr">
        <is>
          <t>2026-10-09 10:40</t>
        </is>
      </c>
      <c r="L818" s="6" t="inlineStr">
        <is>
          <t>Válido</t>
        </is>
      </c>
      <c r="M818" s="2">
        <f>IF(L818="Válido","Sim","Não")</f>
        <v/>
      </c>
      <c r="N818" s="2" t="inlineStr"/>
    </row>
    <row r="819">
      <c r="A819" s="2" t="inlineStr">
        <is>
          <t>6Bracos_2700_R1001_210W_2026-10-09_10_40.csv</t>
        </is>
      </c>
      <c r="B819" s="2" t="inlineStr">
        <is>
          <t>210W_2700RPM_R1001</t>
        </is>
      </c>
      <c r="C819" s="2" t="n">
        <v>210</v>
      </c>
      <c r="D819" s="2" t="n">
        <v>2700</v>
      </c>
      <c r="E819" s="3">
        <f>D819*2/60</f>
        <v/>
      </c>
      <c r="F819" s="2" t="inlineStr">
        <is>
          <t>1001</t>
        </is>
      </c>
      <c r="G819" s="2" t="n">
        <v>6</v>
      </c>
      <c r="H819" s="2">
        <f>INDEX(Parametros!$B$2:$B$9,MATCH(G819,Parametros!$A$2:$A$9,0))</f>
        <v/>
      </c>
      <c r="I819" s="4">
        <f>1/(VALUE(MID(F819,1,1))/Parametros!$E$2+VALUE(MID(F819,2,1))/Parametros!$E$3+VALUE(MID(F819,3,1))/Parametros!$E$4+VALUE(MID(F819,4,1))/Parametros!$E$5)</f>
        <v/>
      </c>
      <c r="J819" s="5">
        <f>IF(G819=0,Parametros!$E$8,Parametros!$E$6+Parametros!$E$6*(Parametros!$E$7/G819+I819)/(Parametros!$E$6+Parametros!$E$7/G819+I819))</f>
        <v/>
      </c>
      <c r="K819" s="2" t="inlineStr">
        <is>
          <t>2026-10-09 10:40</t>
        </is>
      </c>
      <c r="L819" s="6" t="inlineStr">
        <is>
          <t>Válido</t>
        </is>
      </c>
      <c r="M819" s="2">
        <f>IF(L819="Válido","Sim","Não")</f>
        <v/>
      </c>
      <c r="N819" s="2" t="inlineStr"/>
    </row>
    <row r="820">
      <c r="A820" s="2" t="inlineStr">
        <is>
          <t>5Bracos_2700_R1001_210W_2026-10-09_10_40.csv</t>
        </is>
      </c>
      <c r="B820" s="2" t="inlineStr">
        <is>
          <t>210W_2700RPM_R1001</t>
        </is>
      </c>
      <c r="C820" s="2" t="n">
        <v>210</v>
      </c>
      <c r="D820" s="2" t="n">
        <v>2700</v>
      </c>
      <c r="E820" s="3">
        <f>D820*2/60</f>
        <v/>
      </c>
      <c r="F820" s="2" t="inlineStr">
        <is>
          <t>1001</t>
        </is>
      </c>
      <c r="G820" s="2" t="n">
        <v>5</v>
      </c>
      <c r="H820" s="2">
        <f>INDEX(Parametros!$B$2:$B$9,MATCH(G820,Parametros!$A$2:$A$9,0))</f>
        <v/>
      </c>
      <c r="I820" s="4">
        <f>1/(VALUE(MID(F820,1,1))/Parametros!$E$2+VALUE(MID(F820,2,1))/Parametros!$E$3+VALUE(MID(F820,3,1))/Parametros!$E$4+VALUE(MID(F820,4,1))/Parametros!$E$5)</f>
        <v/>
      </c>
      <c r="J820" s="5">
        <f>IF(G820=0,Parametros!$E$8,Parametros!$E$6+Parametros!$E$6*(Parametros!$E$7/G820+I820)/(Parametros!$E$6+Parametros!$E$7/G820+I820))</f>
        <v/>
      </c>
      <c r="K820" s="2" t="inlineStr">
        <is>
          <t>2026-10-09 10:40</t>
        </is>
      </c>
      <c r="L820" s="6" t="inlineStr">
        <is>
          <t>Válido</t>
        </is>
      </c>
      <c r="M820" s="2">
        <f>IF(L820="Válido","Sim","Não")</f>
        <v/>
      </c>
      <c r="N820" s="2" t="inlineStr"/>
    </row>
    <row r="821">
      <c r="A821" s="2" t="inlineStr">
        <is>
          <t>4Bracos_2700_R1001_210W_2026-10-09_10_40.csv</t>
        </is>
      </c>
      <c r="B821" s="2" t="inlineStr">
        <is>
          <t>210W_2700RPM_R1001</t>
        </is>
      </c>
      <c r="C821" s="2" t="n">
        <v>210</v>
      </c>
      <c r="D821" s="2" t="n">
        <v>2700</v>
      </c>
      <c r="E821" s="3">
        <f>D821*2/60</f>
        <v/>
      </c>
      <c r="F821" s="2" t="inlineStr">
        <is>
          <t>1001</t>
        </is>
      </c>
      <c r="G821" s="2" t="n">
        <v>4</v>
      </c>
      <c r="H821" s="2">
        <f>INDEX(Parametros!$B$2:$B$9,MATCH(G821,Parametros!$A$2:$A$9,0))</f>
        <v/>
      </c>
      <c r="I821" s="4">
        <f>1/(VALUE(MID(F821,1,1))/Parametros!$E$2+VALUE(MID(F821,2,1))/Parametros!$E$3+VALUE(MID(F821,3,1))/Parametros!$E$4+VALUE(MID(F821,4,1))/Parametros!$E$5)</f>
        <v/>
      </c>
      <c r="J821" s="5">
        <f>IF(G821=0,Parametros!$E$8,Parametros!$E$6+Parametros!$E$6*(Parametros!$E$7/G821+I821)/(Parametros!$E$6+Parametros!$E$7/G821+I821))</f>
        <v/>
      </c>
      <c r="K821" s="2" t="inlineStr">
        <is>
          <t>2026-10-09 10:40</t>
        </is>
      </c>
      <c r="L821" s="6" t="inlineStr">
        <is>
          <t>Válido</t>
        </is>
      </c>
      <c r="M821" s="2">
        <f>IF(L821="Válido","Sim","Não")</f>
        <v/>
      </c>
      <c r="N821" s="2" t="inlineStr"/>
    </row>
    <row r="822">
      <c r="A822" s="2" t="inlineStr">
        <is>
          <t>3Bracos_2700_R1001_210W_2026-10-09_10_40.csv</t>
        </is>
      </c>
      <c r="B822" s="2" t="inlineStr">
        <is>
          <t>210W_2700RPM_R1001</t>
        </is>
      </c>
      <c r="C822" s="2" t="n">
        <v>210</v>
      </c>
      <c r="D822" s="2" t="n">
        <v>2700</v>
      </c>
      <c r="E822" s="3">
        <f>D822*2/60</f>
        <v/>
      </c>
      <c r="F822" s="2" t="inlineStr">
        <is>
          <t>1001</t>
        </is>
      </c>
      <c r="G822" s="2" t="n">
        <v>3</v>
      </c>
      <c r="H822" s="2">
        <f>INDEX(Parametros!$B$2:$B$9,MATCH(G822,Parametros!$A$2:$A$9,0))</f>
        <v/>
      </c>
      <c r="I822" s="4">
        <f>1/(VALUE(MID(F822,1,1))/Parametros!$E$2+VALUE(MID(F822,2,1))/Parametros!$E$3+VALUE(MID(F822,3,1))/Parametros!$E$4+VALUE(MID(F822,4,1))/Parametros!$E$5)</f>
        <v/>
      </c>
      <c r="J822" s="5">
        <f>IF(G822=0,Parametros!$E$8,Parametros!$E$6+Parametros!$E$6*(Parametros!$E$7/G822+I822)/(Parametros!$E$6+Parametros!$E$7/G822+I822))</f>
        <v/>
      </c>
      <c r="K822" s="2" t="inlineStr">
        <is>
          <t>2026-10-09 10:40</t>
        </is>
      </c>
      <c r="L822" s="6" t="inlineStr">
        <is>
          <t>Válido</t>
        </is>
      </c>
      <c r="M822" s="2">
        <f>IF(L822="Válido","Sim","Não")</f>
        <v/>
      </c>
      <c r="N822" s="2" t="inlineStr"/>
    </row>
    <row r="823">
      <c r="A823" s="2" t="inlineStr">
        <is>
          <t>2Bracos_2700_R1001_210W_2026-10-09_10_40.csv</t>
        </is>
      </c>
      <c r="B823" s="2" t="inlineStr">
        <is>
          <t>210W_2700RPM_R1001</t>
        </is>
      </c>
      <c r="C823" s="2" t="n">
        <v>210</v>
      </c>
      <c r="D823" s="2" t="n">
        <v>2700</v>
      </c>
      <c r="E823" s="3">
        <f>D823*2/60</f>
        <v/>
      </c>
      <c r="F823" s="2" t="inlineStr">
        <is>
          <t>1001</t>
        </is>
      </c>
      <c r="G823" s="2" t="n">
        <v>2</v>
      </c>
      <c r="H823" s="2">
        <f>INDEX(Parametros!$B$2:$B$9,MATCH(G823,Parametros!$A$2:$A$9,0))</f>
        <v/>
      </c>
      <c r="I823" s="4">
        <f>1/(VALUE(MID(F823,1,1))/Parametros!$E$2+VALUE(MID(F823,2,1))/Parametros!$E$3+VALUE(MID(F823,3,1))/Parametros!$E$4+VALUE(MID(F823,4,1))/Parametros!$E$5)</f>
        <v/>
      </c>
      <c r="J823" s="5">
        <f>IF(G823=0,Parametros!$E$8,Parametros!$E$6+Parametros!$E$6*(Parametros!$E$7/G823+I823)/(Parametros!$E$6+Parametros!$E$7/G823+I823))</f>
        <v/>
      </c>
      <c r="K823" s="2" t="inlineStr">
        <is>
          <t>2026-10-09 10:40</t>
        </is>
      </c>
      <c r="L823" s="6" t="inlineStr">
        <is>
          <t>Válido</t>
        </is>
      </c>
      <c r="M823" s="2">
        <f>IF(L823="Válido","Sim","Não")</f>
        <v/>
      </c>
      <c r="N823" s="2" t="inlineStr"/>
    </row>
    <row r="824">
      <c r="A824" s="2" t="inlineStr">
        <is>
          <t>1Bracos_2700_R1001_210W_2026-10-09_10_40.csv</t>
        </is>
      </c>
      <c r="B824" s="2" t="inlineStr">
        <is>
          <t>210W_2700RPM_R1001</t>
        </is>
      </c>
      <c r="C824" s="2" t="n">
        <v>210</v>
      </c>
      <c r="D824" s="2" t="n">
        <v>2700</v>
      </c>
      <c r="E824" s="3">
        <f>D824*2/60</f>
        <v/>
      </c>
      <c r="F824" s="2" t="inlineStr">
        <is>
          <t>1001</t>
        </is>
      </c>
      <c r="G824" s="2" t="n">
        <v>1</v>
      </c>
      <c r="H824" s="2">
        <f>INDEX(Parametros!$B$2:$B$9,MATCH(G824,Parametros!$A$2:$A$9,0))</f>
        <v/>
      </c>
      <c r="I824" s="4">
        <f>1/(VALUE(MID(F824,1,1))/Parametros!$E$2+VALUE(MID(F824,2,1))/Parametros!$E$3+VALUE(MID(F824,3,1))/Parametros!$E$4+VALUE(MID(F824,4,1))/Parametros!$E$5)</f>
        <v/>
      </c>
      <c r="J824" s="5">
        <f>IF(G824=0,Parametros!$E$8,Parametros!$E$6+Parametros!$E$6*(Parametros!$E$7/G824+I824)/(Parametros!$E$6+Parametros!$E$7/G824+I824))</f>
        <v/>
      </c>
      <c r="K824" s="2" t="inlineStr">
        <is>
          <t>2026-10-09 10:40</t>
        </is>
      </c>
      <c r="L824" s="6" t="inlineStr">
        <is>
          <t>Válido</t>
        </is>
      </c>
      <c r="M824" s="2">
        <f>IF(L824="Válido","Sim","Não")</f>
        <v/>
      </c>
      <c r="N824" s="2" t="inlineStr"/>
    </row>
    <row r="825">
      <c r="A825" s="2" t="inlineStr">
        <is>
          <t>0Bracos_2700_R1001_210W_2026-10-09_10_40.csv</t>
        </is>
      </c>
      <c r="B825" s="2" t="inlineStr">
        <is>
          <t>210W_2700RPM_R1001</t>
        </is>
      </c>
      <c r="C825" s="2" t="n">
        <v>210</v>
      </c>
      <c r="D825" s="2" t="n">
        <v>2700</v>
      </c>
      <c r="E825" s="3">
        <f>D825*2/60</f>
        <v/>
      </c>
      <c r="F825" s="2" t="inlineStr">
        <is>
          <t>1001</t>
        </is>
      </c>
      <c r="G825" s="2" t="n">
        <v>0</v>
      </c>
      <c r="H825" s="2">
        <f>INDEX(Parametros!$B$2:$B$9,MATCH(G825,Parametros!$A$2:$A$9,0))</f>
        <v/>
      </c>
      <c r="I825" s="4">
        <f>1/(VALUE(MID(F825,1,1))/Parametros!$E$2+VALUE(MID(F825,2,1))/Parametros!$E$3+VALUE(MID(F825,3,1))/Parametros!$E$4+VALUE(MID(F825,4,1))/Parametros!$E$5)</f>
        <v/>
      </c>
      <c r="J825" s="5">
        <f>IF(G825=0,Parametros!$E$8,Parametros!$E$6+Parametros!$E$6*(Parametros!$E$7/G825+I825)/(Parametros!$E$6+Parametros!$E$7/G825+I825))</f>
        <v/>
      </c>
      <c r="K825" s="2" t="inlineStr">
        <is>
          <t>2026-10-09 10:40</t>
        </is>
      </c>
      <c r="L825" s="6" t="inlineStr">
        <is>
          <t>Válido</t>
        </is>
      </c>
      <c r="M825" s="2">
        <f>IF(L825="Válido","Sim","Não")</f>
        <v/>
      </c>
      <c r="N825" s="2" t="inlineStr"/>
    </row>
    <row r="826">
      <c r="A826" s="2" t="inlineStr">
        <is>
          <t>7Bracos_2700_R1010_210W_2026-10-09_10_40.csv</t>
        </is>
      </c>
      <c r="B826" s="2" t="inlineStr">
        <is>
          <t>210W_2700RPM_R1010</t>
        </is>
      </c>
      <c r="C826" s="2" t="n">
        <v>210</v>
      </c>
      <c r="D826" s="2" t="n">
        <v>2700</v>
      </c>
      <c r="E826" s="3">
        <f>D826*2/60</f>
        <v/>
      </c>
      <c r="F826" s="2" t="inlineStr">
        <is>
          <t>1010</t>
        </is>
      </c>
      <c r="G826" s="2" t="n">
        <v>7</v>
      </c>
      <c r="H826" s="2">
        <f>INDEX(Parametros!$B$2:$B$9,MATCH(G826,Parametros!$A$2:$A$9,0))</f>
        <v/>
      </c>
      <c r="I826" s="4">
        <f>1/(VALUE(MID(F826,1,1))/Parametros!$E$2+VALUE(MID(F826,2,1))/Parametros!$E$3+VALUE(MID(F826,3,1))/Parametros!$E$4+VALUE(MID(F826,4,1))/Parametros!$E$5)</f>
        <v/>
      </c>
      <c r="J826" s="5">
        <f>IF(G826=0,Parametros!$E$8,Parametros!$E$6+Parametros!$E$6*(Parametros!$E$7/G826+I826)/(Parametros!$E$6+Parametros!$E$7/G826+I826))</f>
        <v/>
      </c>
      <c r="K826" s="2" t="inlineStr">
        <is>
          <t>2026-10-09 10:40</t>
        </is>
      </c>
      <c r="L826" s="6" t="inlineStr">
        <is>
          <t>Válido</t>
        </is>
      </c>
      <c r="M826" s="2">
        <f>IF(L826="Válido","Sim","Não")</f>
        <v/>
      </c>
      <c r="N826" s="2" t="inlineStr"/>
    </row>
    <row r="827">
      <c r="A827" s="2" t="inlineStr">
        <is>
          <t>6Bracos_2700_R1010_210W_2026-10-09_10_40.csv</t>
        </is>
      </c>
      <c r="B827" s="2" t="inlineStr">
        <is>
          <t>210W_2700RPM_R1010</t>
        </is>
      </c>
      <c r="C827" s="2" t="n">
        <v>210</v>
      </c>
      <c r="D827" s="2" t="n">
        <v>2700</v>
      </c>
      <c r="E827" s="3">
        <f>D827*2/60</f>
        <v/>
      </c>
      <c r="F827" s="2" t="inlineStr">
        <is>
          <t>1010</t>
        </is>
      </c>
      <c r="G827" s="2" t="n">
        <v>6</v>
      </c>
      <c r="H827" s="2">
        <f>INDEX(Parametros!$B$2:$B$9,MATCH(G827,Parametros!$A$2:$A$9,0))</f>
        <v/>
      </c>
      <c r="I827" s="4">
        <f>1/(VALUE(MID(F827,1,1))/Parametros!$E$2+VALUE(MID(F827,2,1))/Parametros!$E$3+VALUE(MID(F827,3,1))/Parametros!$E$4+VALUE(MID(F827,4,1))/Parametros!$E$5)</f>
        <v/>
      </c>
      <c r="J827" s="5">
        <f>IF(G827=0,Parametros!$E$8,Parametros!$E$6+Parametros!$E$6*(Parametros!$E$7/G827+I827)/(Parametros!$E$6+Parametros!$E$7/G827+I827))</f>
        <v/>
      </c>
      <c r="K827" s="2" t="inlineStr">
        <is>
          <t>2026-10-09 10:40</t>
        </is>
      </c>
      <c r="L827" s="6" t="inlineStr">
        <is>
          <t>Válido</t>
        </is>
      </c>
      <c r="M827" s="2">
        <f>IF(L827="Válido","Sim","Não")</f>
        <v/>
      </c>
      <c r="N827" s="2" t="inlineStr"/>
    </row>
    <row r="828">
      <c r="A828" s="2" t="inlineStr">
        <is>
          <t>5Bracos_2700_R1010_210W_2026-10-09_10_40.csv</t>
        </is>
      </c>
      <c r="B828" s="2" t="inlineStr">
        <is>
          <t>210W_2700RPM_R1010</t>
        </is>
      </c>
      <c r="C828" s="2" t="n">
        <v>210</v>
      </c>
      <c r="D828" s="2" t="n">
        <v>2700</v>
      </c>
      <c r="E828" s="3">
        <f>D828*2/60</f>
        <v/>
      </c>
      <c r="F828" s="2" t="inlineStr">
        <is>
          <t>1010</t>
        </is>
      </c>
      <c r="G828" s="2" t="n">
        <v>5</v>
      </c>
      <c r="H828" s="2">
        <f>INDEX(Parametros!$B$2:$B$9,MATCH(G828,Parametros!$A$2:$A$9,0))</f>
        <v/>
      </c>
      <c r="I828" s="4">
        <f>1/(VALUE(MID(F828,1,1))/Parametros!$E$2+VALUE(MID(F828,2,1))/Parametros!$E$3+VALUE(MID(F828,3,1))/Parametros!$E$4+VALUE(MID(F828,4,1))/Parametros!$E$5)</f>
        <v/>
      </c>
      <c r="J828" s="5">
        <f>IF(G828=0,Parametros!$E$8,Parametros!$E$6+Parametros!$E$6*(Parametros!$E$7/G828+I828)/(Parametros!$E$6+Parametros!$E$7/G828+I828))</f>
        <v/>
      </c>
      <c r="K828" s="2" t="inlineStr">
        <is>
          <t>2026-10-09 10:40</t>
        </is>
      </c>
      <c r="L828" s="6" t="inlineStr">
        <is>
          <t>Válido</t>
        </is>
      </c>
      <c r="M828" s="2">
        <f>IF(L828="Válido","Sim","Não")</f>
        <v/>
      </c>
      <c r="N828" s="2" t="inlineStr"/>
    </row>
    <row r="829">
      <c r="A829" s="2" t="inlineStr">
        <is>
          <t>4Bracos_2700_R1010_210W_2026-10-09_10_40.csv</t>
        </is>
      </c>
      <c r="B829" s="2" t="inlineStr">
        <is>
          <t>210W_2700RPM_R1010</t>
        </is>
      </c>
      <c r="C829" s="2" t="n">
        <v>210</v>
      </c>
      <c r="D829" s="2" t="n">
        <v>2700</v>
      </c>
      <c r="E829" s="3">
        <f>D829*2/60</f>
        <v/>
      </c>
      <c r="F829" s="2" t="inlineStr">
        <is>
          <t>1010</t>
        </is>
      </c>
      <c r="G829" s="2" t="n">
        <v>4</v>
      </c>
      <c r="H829" s="2">
        <f>INDEX(Parametros!$B$2:$B$9,MATCH(G829,Parametros!$A$2:$A$9,0))</f>
        <v/>
      </c>
      <c r="I829" s="4">
        <f>1/(VALUE(MID(F829,1,1))/Parametros!$E$2+VALUE(MID(F829,2,1))/Parametros!$E$3+VALUE(MID(F829,3,1))/Parametros!$E$4+VALUE(MID(F829,4,1))/Parametros!$E$5)</f>
        <v/>
      </c>
      <c r="J829" s="5">
        <f>IF(G829=0,Parametros!$E$8,Parametros!$E$6+Parametros!$E$6*(Parametros!$E$7/G829+I829)/(Parametros!$E$6+Parametros!$E$7/G829+I829))</f>
        <v/>
      </c>
      <c r="K829" s="2" t="inlineStr">
        <is>
          <t>2026-10-09 10:40</t>
        </is>
      </c>
      <c r="L829" s="6" t="inlineStr">
        <is>
          <t>Válido</t>
        </is>
      </c>
      <c r="M829" s="2">
        <f>IF(L829="Válido","Sim","Não")</f>
        <v/>
      </c>
      <c r="N829" s="2" t="inlineStr"/>
    </row>
    <row r="830">
      <c r="A830" s="2" t="inlineStr">
        <is>
          <t>3Bracos_2700_R1010_210W_2026-10-09_10_40.csv</t>
        </is>
      </c>
      <c r="B830" s="2" t="inlineStr">
        <is>
          <t>210W_2700RPM_R1010</t>
        </is>
      </c>
      <c r="C830" s="2" t="n">
        <v>210</v>
      </c>
      <c r="D830" s="2" t="n">
        <v>2700</v>
      </c>
      <c r="E830" s="3">
        <f>D830*2/60</f>
        <v/>
      </c>
      <c r="F830" s="2" t="inlineStr">
        <is>
          <t>1010</t>
        </is>
      </c>
      <c r="G830" s="2" t="n">
        <v>3</v>
      </c>
      <c r="H830" s="2">
        <f>INDEX(Parametros!$B$2:$B$9,MATCH(G830,Parametros!$A$2:$A$9,0))</f>
        <v/>
      </c>
      <c r="I830" s="4">
        <f>1/(VALUE(MID(F830,1,1))/Parametros!$E$2+VALUE(MID(F830,2,1))/Parametros!$E$3+VALUE(MID(F830,3,1))/Parametros!$E$4+VALUE(MID(F830,4,1))/Parametros!$E$5)</f>
        <v/>
      </c>
      <c r="J830" s="5">
        <f>IF(G830=0,Parametros!$E$8,Parametros!$E$6+Parametros!$E$6*(Parametros!$E$7/G830+I830)/(Parametros!$E$6+Parametros!$E$7/G830+I830))</f>
        <v/>
      </c>
      <c r="K830" s="2" t="inlineStr">
        <is>
          <t>2026-10-09 10:40</t>
        </is>
      </c>
      <c r="L830" s="6" t="inlineStr">
        <is>
          <t>Válido</t>
        </is>
      </c>
      <c r="M830" s="2">
        <f>IF(L830="Válido","Sim","Não")</f>
        <v/>
      </c>
      <c r="N830" s="2" t="inlineStr"/>
    </row>
    <row r="831">
      <c r="A831" s="2" t="inlineStr">
        <is>
          <t>2Bracos_2700_R1010_210W_2026-10-09_10_40.csv</t>
        </is>
      </c>
      <c r="B831" s="2" t="inlineStr">
        <is>
          <t>210W_2700RPM_R1010</t>
        </is>
      </c>
      <c r="C831" s="2" t="n">
        <v>210</v>
      </c>
      <c r="D831" s="2" t="n">
        <v>2700</v>
      </c>
      <c r="E831" s="3">
        <f>D831*2/60</f>
        <v/>
      </c>
      <c r="F831" s="2" t="inlineStr">
        <is>
          <t>1010</t>
        </is>
      </c>
      <c r="G831" s="2" t="n">
        <v>2</v>
      </c>
      <c r="H831" s="2">
        <f>INDEX(Parametros!$B$2:$B$9,MATCH(G831,Parametros!$A$2:$A$9,0))</f>
        <v/>
      </c>
      <c r="I831" s="4">
        <f>1/(VALUE(MID(F831,1,1))/Parametros!$E$2+VALUE(MID(F831,2,1))/Parametros!$E$3+VALUE(MID(F831,3,1))/Parametros!$E$4+VALUE(MID(F831,4,1))/Parametros!$E$5)</f>
        <v/>
      </c>
      <c r="J831" s="5">
        <f>IF(G831=0,Parametros!$E$8,Parametros!$E$6+Parametros!$E$6*(Parametros!$E$7/G831+I831)/(Parametros!$E$6+Parametros!$E$7/G831+I831))</f>
        <v/>
      </c>
      <c r="K831" s="2" t="inlineStr">
        <is>
          <t>2026-10-09 10:40</t>
        </is>
      </c>
      <c r="L831" s="6" t="inlineStr">
        <is>
          <t>Válido</t>
        </is>
      </c>
      <c r="M831" s="2">
        <f>IF(L831="Válido","Sim","Não")</f>
        <v/>
      </c>
      <c r="N831" s="2" t="inlineStr"/>
    </row>
    <row r="832">
      <c r="A832" s="2" t="inlineStr">
        <is>
          <t>1Bracos_2700_R1010_210W_2026-10-09_10_40.csv</t>
        </is>
      </c>
      <c r="B832" s="2" t="inlineStr">
        <is>
          <t>210W_2700RPM_R1010</t>
        </is>
      </c>
      <c r="C832" s="2" t="n">
        <v>210</v>
      </c>
      <c r="D832" s="2" t="n">
        <v>2700</v>
      </c>
      <c r="E832" s="3">
        <f>D832*2/60</f>
        <v/>
      </c>
      <c r="F832" s="2" t="inlineStr">
        <is>
          <t>1010</t>
        </is>
      </c>
      <c r="G832" s="2" t="n">
        <v>1</v>
      </c>
      <c r="H832" s="2">
        <f>INDEX(Parametros!$B$2:$B$9,MATCH(G832,Parametros!$A$2:$A$9,0))</f>
        <v/>
      </c>
      <c r="I832" s="4">
        <f>1/(VALUE(MID(F832,1,1))/Parametros!$E$2+VALUE(MID(F832,2,1))/Parametros!$E$3+VALUE(MID(F832,3,1))/Parametros!$E$4+VALUE(MID(F832,4,1))/Parametros!$E$5)</f>
        <v/>
      </c>
      <c r="J832" s="5">
        <f>IF(G832=0,Parametros!$E$8,Parametros!$E$6+Parametros!$E$6*(Parametros!$E$7/G832+I832)/(Parametros!$E$6+Parametros!$E$7/G832+I832))</f>
        <v/>
      </c>
      <c r="K832" s="2" t="inlineStr">
        <is>
          <t>2026-10-09 10:40</t>
        </is>
      </c>
      <c r="L832" s="6" t="inlineStr">
        <is>
          <t>Válido</t>
        </is>
      </c>
      <c r="M832" s="2">
        <f>IF(L832="Válido","Sim","Não")</f>
        <v/>
      </c>
      <c r="N832" s="2" t="inlineStr"/>
    </row>
    <row r="833">
      <c r="A833" s="2" t="inlineStr">
        <is>
          <t>0Bracos_2700_R1010_210W_2026-10-09_10_40.csv</t>
        </is>
      </c>
      <c r="B833" s="2" t="inlineStr">
        <is>
          <t>210W_2700RPM_R1010</t>
        </is>
      </c>
      <c r="C833" s="2" t="n">
        <v>210</v>
      </c>
      <c r="D833" s="2" t="n">
        <v>2700</v>
      </c>
      <c r="E833" s="3">
        <f>D833*2/60</f>
        <v/>
      </c>
      <c r="F833" s="2" t="inlineStr">
        <is>
          <t>1010</t>
        </is>
      </c>
      <c r="G833" s="2" t="n">
        <v>0</v>
      </c>
      <c r="H833" s="2">
        <f>INDEX(Parametros!$B$2:$B$9,MATCH(G833,Parametros!$A$2:$A$9,0))</f>
        <v/>
      </c>
      <c r="I833" s="4">
        <f>1/(VALUE(MID(F833,1,1))/Parametros!$E$2+VALUE(MID(F833,2,1))/Parametros!$E$3+VALUE(MID(F833,3,1))/Parametros!$E$4+VALUE(MID(F833,4,1))/Parametros!$E$5)</f>
        <v/>
      </c>
      <c r="J833" s="5">
        <f>IF(G833=0,Parametros!$E$8,Parametros!$E$6+Parametros!$E$6*(Parametros!$E$7/G833+I833)/(Parametros!$E$6+Parametros!$E$7/G833+I833))</f>
        <v/>
      </c>
      <c r="K833" s="2" t="inlineStr">
        <is>
          <t>2026-10-09 10:40</t>
        </is>
      </c>
      <c r="L833" s="6" t="inlineStr">
        <is>
          <t>Válido</t>
        </is>
      </c>
      <c r="M833" s="2">
        <f>IF(L833="Válido","Sim","Não")</f>
        <v/>
      </c>
      <c r="N833" s="2" t="inlineStr"/>
    </row>
    <row r="834">
      <c r="A834" s="2" t="inlineStr">
        <is>
          <t>7Bracos_2700_R1011_210W_2026-10-09_10_40.csv</t>
        </is>
      </c>
      <c r="B834" s="2" t="inlineStr">
        <is>
          <t>210W_2700RPM_R1011</t>
        </is>
      </c>
      <c r="C834" s="2" t="n">
        <v>210</v>
      </c>
      <c r="D834" s="2" t="n">
        <v>2700</v>
      </c>
      <c r="E834" s="3">
        <f>D834*2/60</f>
        <v/>
      </c>
      <c r="F834" s="2" t="inlineStr">
        <is>
          <t>1011</t>
        </is>
      </c>
      <c r="G834" s="2" t="n">
        <v>7</v>
      </c>
      <c r="H834" s="2">
        <f>INDEX(Parametros!$B$2:$B$9,MATCH(G834,Parametros!$A$2:$A$9,0))</f>
        <v/>
      </c>
      <c r="I834" s="4">
        <f>1/(VALUE(MID(F834,1,1))/Parametros!$E$2+VALUE(MID(F834,2,1))/Parametros!$E$3+VALUE(MID(F834,3,1))/Parametros!$E$4+VALUE(MID(F834,4,1))/Parametros!$E$5)</f>
        <v/>
      </c>
      <c r="J834" s="5">
        <f>IF(G834=0,Parametros!$E$8,Parametros!$E$6+Parametros!$E$6*(Parametros!$E$7/G834+I834)/(Parametros!$E$6+Parametros!$E$7/G834+I834))</f>
        <v/>
      </c>
      <c r="K834" s="2" t="inlineStr">
        <is>
          <t>2026-10-09 10:40</t>
        </is>
      </c>
      <c r="L834" s="6" t="inlineStr">
        <is>
          <t>Válido</t>
        </is>
      </c>
      <c r="M834" s="2">
        <f>IF(L834="Válido","Sim","Não")</f>
        <v/>
      </c>
      <c r="N834" s="2" t="inlineStr"/>
    </row>
    <row r="835">
      <c r="A835" s="2" t="inlineStr">
        <is>
          <t>6Bracos_2700_R1011_210W_2026-10-09_10_40.csv</t>
        </is>
      </c>
      <c r="B835" s="2" t="inlineStr">
        <is>
          <t>210W_2700RPM_R1011</t>
        </is>
      </c>
      <c r="C835" s="2" t="n">
        <v>210</v>
      </c>
      <c r="D835" s="2" t="n">
        <v>2700</v>
      </c>
      <c r="E835" s="3">
        <f>D835*2/60</f>
        <v/>
      </c>
      <c r="F835" s="2" t="inlineStr">
        <is>
          <t>1011</t>
        </is>
      </c>
      <c r="G835" s="2" t="n">
        <v>6</v>
      </c>
      <c r="H835" s="2">
        <f>INDEX(Parametros!$B$2:$B$9,MATCH(G835,Parametros!$A$2:$A$9,0))</f>
        <v/>
      </c>
      <c r="I835" s="4">
        <f>1/(VALUE(MID(F835,1,1))/Parametros!$E$2+VALUE(MID(F835,2,1))/Parametros!$E$3+VALUE(MID(F835,3,1))/Parametros!$E$4+VALUE(MID(F835,4,1))/Parametros!$E$5)</f>
        <v/>
      </c>
      <c r="J835" s="5">
        <f>IF(G835=0,Parametros!$E$8,Parametros!$E$6+Parametros!$E$6*(Parametros!$E$7/G835+I835)/(Parametros!$E$6+Parametros!$E$7/G835+I835))</f>
        <v/>
      </c>
      <c r="K835" s="2" t="inlineStr">
        <is>
          <t>2026-10-09 10:40</t>
        </is>
      </c>
      <c r="L835" s="6" t="inlineStr">
        <is>
          <t>Válido</t>
        </is>
      </c>
      <c r="M835" s="2">
        <f>IF(L835="Válido","Sim","Não")</f>
        <v/>
      </c>
      <c r="N835" s="2" t="inlineStr"/>
    </row>
    <row r="836">
      <c r="A836" s="2" t="inlineStr">
        <is>
          <t>5Bracos_2700_R1011_210W_2026-10-09_10_40.csv</t>
        </is>
      </c>
      <c r="B836" s="2" t="inlineStr">
        <is>
          <t>210W_2700RPM_R1011</t>
        </is>
      </c>
      <c r="C836" s="2" t="n">
        <v>210</v>
      </c>
      <c r="D836" s="2" t="n">
        <v>2700</v>
      </c>
      <c r="E836" s="3">
        <f>D836*2/60</f>
        <v/>
      </c>
      <c r="F836" s="2" t="inlineStr">
        <is>
          <t>1011</t>
        </is>
      </c>
      <c r="G836" s="2" t="n">
        <v>5</v>
      </c>
      <c r="H836" s="2">
        <f>INDEX(Parametros!$B$2:$B$9,MATCH(G836,Parametros!$A$2:$A$9,0))</f>
        <v/>
      </c>
      <c r="I836" s="4">
        <f>1/(VALUE(MID(F836,1,1))/Parametros!$E$2+VALUE(MID(F836,2,1))/Parametros!$E$3+VALUE(MID(F836,3,1))/Parametros!$E$4+VALUE(MID(F836,4,1))/Parametros!$E$5)</f>
        <v/>
      </c>
      <c r="J836" s="5">
        <f>IF(G836=0,Parametros!$E$8,Parametros!$E$6+Parametros!$E$6*(Parametros!$E$7/G836+I836)/(Parametros!$E$6+Parametros!$E$7/G836+I836))</f>
        <v/>
      </c>
      <c r="K836" s="2" t="inlineStr">
        <is>
          <t>2026-10-09 10:40</t>
        </is>
      </c>
      <c r="L836" s="6" t="inlineStr">
        <is>
          <t>Válido</t>
        </is>
      </c>
      <c r="M836" s="2">
        <f>IF(L836="Válido","Sim","Não")</f>
        <v/>
      </c>
      <c r="N836" s="2" t="inlineStr"/>
    </row>
    <row r="837">
      <c r="A837" s="2" t="inlineStr">
        <is>
          <t>4Bracos_2700_R1011_210W_2026-10-09_10_40.csv</t>
        </is>
      </c>
      <c r="B837" s="2" t="inlineStr">
        <is>
          <t>210W_2700RPM_R1011</t>
        </is>
      </c>
      <c r="C837" s="2" t="n">
        <v>210</v>
      </c>
      <c r="D837" s="2" t="n">
        <v>2700</v>
      </c>
      <c r="E837" s="3">
        <f>D837*2/60</f>
        <v/>
      </c>
      <c r="F837" s="2" t="inlineStr">
        <is>
          <t>1011</t>
        </is>
      </c>
      <c r="G837" s="2" t="n">
        <v>4</v>
      </c>
      <c r="H837" s="2">
        <f>INDEX(Parametros!$B$2:$B$9,MATCH(G837,Parametros!$A$2:$A$9,0))</f>
        <v/>
      </c>
      <c r="I837" s="4">
        <f>1/(VALUE(MID(F837,1,1))/Parametros!$E$2+VALUE(MID(F837,2,1))/Parametros!$E$3+VALUE(MID(F837,3,1))/Parametros!$E$4+VALUE(MID(F837,4,1))/Parametros!$E$5)</f>
        <v/>
      </c>
      <c r="J837" s="5">
        <f>IF(G837=0,Parametros!$E$8,Parametros!$E$6+Parametros!$E$6*(Parametros!$E$7/G837+I837)/(Parametros!$E$6+Parametros!$E$7/G837+I837))</f>
        <v/>
      </c>
      <c r="K837" s="2" t="inlineStr">
        <is>
          <t>2026-10-09 10:40</t>
        </is>
      </c>
      <c r="L837" s="6" t="inlineStr">
        <is>
          <t>Válido</t>
        </is>
      </c>
      <c r="M837" s="2">
        <f>IF(L837="Válido","Sim","Não")</f>
        <v/>
      </c>
      <c r="N837" s="2" t="inlineStr"/>
    </row>
    <row r="838">
      <c r="A838" s="2" t="inlineStr">
        <is>
          <t>3Bracos_2700_R1011_210W_2026-10-09_10_40.csv</t>
        </is>
      </c>
      <c r="B838" s="2" t="inlineStr">
        <is>
          <t>210W_2700RPM_R1011</t>
        </is>
      </c>
      <c r="C838" s="2" t="n">
        <v>210</v>
      </c>
      <c r="D838" s="2" t="n">
        <v>2700</v>
      </c>
      <c r="E838" s="3">
        <f>D838*2/60</f>
        <v/>
      </c>
      <c r="F838" s="2" t="inlineStr">
        <is>
          <t>1011</t>
        </is>
      </c>
      <c r="G838" s="2" t="n">
        <v>3</v>
      </c>
      <c r="H838" s="2">
        <f>INDEX(Parametros!$B$2:$B$9,MATCH(G838,Parametros!$A$2:$A$9,0))</f>
        <v/>
      </c>
      <c r="I838" s="4">
        <f>1/(VALUE(MID(F838,1,1))/Parametros!$E$2+VALUE(MID(F838,2,1))/Parametros!$E$3+VALUE(MID(F838,3,1))/Parametros!$E$4+VALUE(MID(F838,4,1))/Parametros!$E$5)</f>
        <v/>
      </c>
      <c r="J838" s="5">
        <f>IF(G838=0,Parametros!$E$8,Parametros!$E$6+Parametros!$E$6*(Parametros!$E$7/G838+I838)/(Parametros!$E$6+Parametros!$E$7/G838+I838))</f>
        <v/>
      </c>
      <c r="K838" s="2" t="inlineStr">
        <is>
          <t>2026-10-09 10:40</t>
        </is>
      </c>
      <c r="L838" s="6" t="inlineStr">
        <is>
          <t>Válido</t>
        </is>
      </c>
      <c r="M838" s="2">
        <f>IF(L838="Válido","Sim","Não")</f>
        <v/>
      </c>
      <c r="N838" s="2" t="inlineStr"/>
    </row>
    <row r="839">
      <c r="A839" s="2" t="inlineStr">
        <is>
          <t>2Bracos_2700_R1011_210W_2026-10-09_10_40.csv</t>
        </is>
      </c>
      <c r="B839" s="2" t="inlineStr">
        <is>
          <t>210W_2700RPM_R1011</t>
        </is>
      </c>
      <c r="C839" s="2" t="n">
        <v>210</v>
      </c>
      <c r="D839" s="2" t="n">
        <v>2700</v>
      </c>
      <c r="E839" s="3">
        <f>D839*2/60</f>
        <v/>
      </c>
      <c r="F839" s="2" t="inlineStr">
        <is>
          <t>1011</t>
        </is>
      </c>
      <c r="G839" s="2" t="n">
        <v>2</v>
      </c>
      <c r="H839" s="2">
        <f>INDEX(Parametros!$B$2:$B$9,MATCH(G839,Parametros!$A$2:$A$9,0))</f>
        <v/>
      </c>
      <c r="I839" s="4">
        <f>1/(VALUE(MID(F839,1,1))/Parametros!$E$2+VALUE(MID(F839,2,1))/Parametros!$E$3+VALUE(MID(F839,3,1))/Parametros!$E$4+VALUE(MID(F839,4,1))/Parametros!$E$5)</f>
        <v/>
      </c>
      <c r="J839" s="5">
        <f>IF(G839=0,Parametros!$E$8,Parametros!$E$6+Parametros!$E$6*(Parametros!$E$7/G839+I839)/(Parametros!$E$6+Parametros!$E$7/G839+I839))</f>
        <v/>
      </c>
      <c r="K839" s="2" t="inlineStr">
        <is>
          <t>2026-10-09 10:40</t>
        </is>
      </c>
      <c r="L839" s="6" t="inlineStr">
        <is>
          <t>Válido</t>
        </is>
      </c>
      <c r="M839" s="2">
        <f>IF(L839="Válido","Sim","Não")</f>
        <v/>
      </c>
      <c r="N839" s="2" t="inlineStr"/>
    </row>
    <row r="840">
      <c r="A840" s="2" t="inlineStr">
        <is>
          <t>1Bracos_2700_R1011_210W_2026-10-09_10_40.csv</t>
        </is>
      </c>
      <c r="B840" s="2" t="inlineStr">
        <is>
          <t>210W_2700RPM_R1011</t>
        </is>
      </c>
      <c r="C840" s="2" t="n">
        <v>210</v>
      </c>
      <c r="D840" s="2" t="n">
        <v>2700</v>
      </c>
      <c r="E840" s="3">
        <f>D840*2/60</f>
        <v/>
      </c>
      <c r="F840" s="2" t="inlineStr">
        <is>
          <t>1011</t>
        </is>
      </c>
      <c r="G840" s="2" t="n">
        <v>1</v>
      </c>
      <c r="H840" s="2">
        <f>INDEX(Parametros!$B$2:$B$9,MATCH(G840,Parametros!$A$2:$A$9,0))</f>
        <v/>
      </c>
      <c r="I840" s="4">
        <f>1/(VALUE(MID(F840,1,1))/Parametros!$E$2+VALUE(MID(F840,2,1))/Parametros!$E$3+VALUE(MID(F840,3,1))/Parametros!$E$4+VALUE(MID(F840,4,1))/Parametros!$E$5)</f>
        <v/>
      </c>
      <c r="J840" s="5">
        <f>IF(G840=0,Parametros!$E$8,Parametros!$E$6+Parametros!$E$6*(Parametros!$E$7/G840+I840)/(Parametros!$E$6+Parametros!$E$7/G840+I840))</f>
        <v/>
      </c>
      <c r="K840" s="2" t="inlineStr">
        <is>
          <t>2026-10-09 10:40</t>
        </is>
      </c>
      <c r="L840" s="6" t="inlineStr">
        <is>
          <t>Válido</t>
        </is>
      </c>
      <c r="M840" s="2">
        <f>IF(L840="Válido","Sim","Não")</f>
        <v/>
      </c>
      <c r="N840" s="2" t="inlineStr"/>
    </row>
    <row r="841">
      <c r="A841" s="2" t="inlineStr">
        <is>
          <t>0Bracos_2700_R1011_210W_2026-10-09_10_40.csv</t>
        </is>
      </c>
      <c r="B841" s="2" t="inlineStr">
        <is>
          <t>210W_2700RPM_R1011</t>
        </is>
      </c>
      <c r="C841" s="2" t="n">
        <v>210</v>
      </c>
      <c r="D841" s="2" t="n">
        <v>2700</v>
      </c>
      <c r="E841" s="3">
        <f>D841*2/60</f>
        <v/>
      </c>
      <c r="F841" s="2" t="inlineStr">
        <is>
          <t>1011</t>
        </is>
      </c>
      <c r="G841" s="2" t="n">
        <v>0</v>
      </c>
      <c r="H841" s="2">
        <f>INDEX(Parametros!$B$2:$B$9,MATCH(G841,Parametros!$A$2:$A$9,0))</f>
        <v/>
      </c>
      <c r="I841" s="4">
        <f>1/(VALUE(MID(F841,1,1))/Parametros!$E$2+VALUE(MID(F841,2,1))/Parametros!$E$3+VALUE(MID(F841,3,1))/Parametros!$E$4+VALUE(MID(F841,4,1))/Parametros!$E$5)</f>
        <v/>
      </c>
      <c r="J841" s="5">
        <f>IF(G841=0,Parametros!$E$8,Parametros!$E$6+Parametros!$E$6*(Parametros!$E$7/G841+I841)/(Parametros!$E$6+Parametros!$E$7/G841+I841))</f>
        <v/>
      </c>
      <c r="K841" s="2" t="inlineStr">
        <is>
          <t>2026-10-09 10:40</t>
        </is>
      </c>
      <c r="L841" s="6" t="inlineStr">
        <is>
          <t>Válido</t>
        </is>
      </c>
      <c r="M841" s="2">
        <f>IF(L841="Válido","Sim","Não")</f>
        <v/>
      </c>
      <c r="N841" s="2" t="inlineStr"/>
    </row>
    <row r="842">
      <c r="A842" s="2" t="inlineStr">
        <is>
          <t>7Bracos_2700_R1100_210W_2026-10-09_10_40.csv</t>
        </is>
      </c>
      <c r="B842" s="2" t="inlineStr">
        <is>
          <t>210W_2700RPM_R1100</t>
        </is>
      </c>
      <c r="C842" s="2" t="n">
        <v>210</v>
      </c>
      <c r="D842" s="2" t="n">
        <v>2700</v>
      </c>
      <c r="E842" s="3">
        <f>D842*2/60</f>
        <v/>
      </c>
      <c r="F842" s="2" t="inlineStr">
        <is>
          <t>1100</t>
        </is>
      </c>
      <c r="G842" s="2" t="n">
        <v>7</v>
      </c>
      <c r="H842" s="2">
        <f>INDEX(Parametros!$B$2:$B$9,MATCH(G842,Parametros!$A$2:$A$9,0))</f>
        <v/>
      </c>
      <c r="I842" s="4">
        <f>1/(VALUE(MID(F842,1,1))/Parametros!$E$2+VALUE(MID(F842,2,1))/Parametros!$E$3+VALUE(MID(F842,3,1))/Parametros!$E$4+VALUE(MID(F842,4,1))/Parametros!$E$5)</f>
        <v/>
      </c>
      <c r="J842" s="5">
        <f>IF(G842=0,Parametros!$E$8,Parametros!$E$6+Parametros!$E$6*(Parametros!$E$7/G842+I842)/(Parametros!$E$6+Parametros!$E$7/G842+I842))</f>
        <v/>
      </c>
      <c r="K842" s="2" t="inlineStr">
        <is>
          <t>2026-10-09 10:40</t>
        </is>
      </c>
      <c r="L842" s="6" t="inlineStr">
        <is>
          <t>Válido</t>
        </is>
      </c>
      <c r="M842" s="2">
        <f>IF(L842="Válido","Sim","Não")</f>
        <v/>
      </c>
      <c r="N842" s="2" t="inlineStr"/>
    </row>
    <row r="843">
      <c r="A843" s="2" t="inlineStr">
        <is>
          <t>6Bracos_2700_R1100_210W_2026-10-09_10_40.csv</t>
        </is>
      </c>
      <c r="B843" s="2" t="inlineStr">
        <is>
          <t>210W_2700RPM_R1100</t>
        </is>
      </c>
      <c r="C843" s="2" t="n">
        <v>210</v>
      </c>
      <c r="D843" s="2" t="n">
        <v>2700</v>
      </c>
      <c r="E843" s="3">
        <f>D843*2/60</f>
        <v/>
      </c>
      <c r="F843" s="2" t="inlineStr">
        <is>
          <t>1100</t>
        </is>
      </c>
      <c r="G843" s="2" t="n">
        <v>6</v>
      </c>
      <c r="H843" s="2">
        <f>INDEX(Parametros!$B$2:$B$9,MATCH(G843,Parametros!$A$2:$A$9,0))</f>
        <v/>
      </c>
      <c r="I843" s="4">
        <f>1/(VALUE(MID(F843,1,1))/Parametros!$E$2+VALUE(MID(F843,2,1))/Parametros!$E$3+VALUE(MID(F843,3,1))/Parametros!$E$4+VALUE(MID(F843,4,1))/Parametros!$E$5)</f>
        <v/>
      </c>
      <c r="J843" s="5">
        <f>IF(G843=0,Parametros!$E$8,Parametros!$E$6+Parametros!$E$6*(Parametros!$E$7/G843+I843)/(Parametros!$E$6+Parametros!$E$7/G843+I843))</f>
        <v/>
      </c>
      <c r="K843" s="2" t="inlineStr">
        <is>
          <t>2026-10-09 10:40</t>
        </is>
      </c>
      <c r="L843" s="6" t="inlineStr">
        <is>
          <t>Válido</t>
        </is>
      </c>
      <c r="M843" s="2">
        <f>IF(L843="Válido","Sim","Não")</f>
        <v/>
      </c>
      <c r="N843" s="2" t="inlineStr"/>
    </row>
    <row r="844">
      <c r="A844" s="2" t="inlineStr">
        <is>
          <t>5Bracos_2700_R1100_210W_2026-10-09_10_40.csv</t>
        </is>
      </c>
      <c r="B844" s="2" t="inlineStr">
        <is>
          <t>210W_2700RPM_R1100</t>
        </is>
      </c>
      <c r="C844" s="2" t="n">
        <v>210</v>
      </c>
      <c r="D844" s="2" t="n">
        <v>2700</v>
      </c>
      <c r="E844" s="3">
        <f>D844*2/60</f>
        <v/>
      </c>
      <c r="F844" s="2" t="inlineStr">
        <is>
          <t>1100</t>
        </is>
      </c>
      <c r="G844" s="2" t="n">
        <v>5</v>
      </c>
      <c r="H844" s="2">
        <f>INDEX(Parametros!$B$2:$B$9,MATCH(G844,Parametros!$A$2:$A$9,0))</f>
        <v/>
      </c>
      <c r="I844" s="4">
        <f>1/(VALUE(MID(F844,1,1))/Parametros!$E$2+VALUE(MID(F844,2,1))/Parametros!$E$3+VALUE(MID(F844,3,1))/Parametros!$E$4+VALUE(MID(F844,4,1))/Parametros!$E$5)</f>
        <v/>
      </c>
      <c r="J844" s="5">
        <f>IF(G844=0,Parametros!$E$8,Parametros!$E$6+Parametros!$E$6*(Parametros!$E$7/G844+I844)/(Parametros!$E$6+Parametros!$E$7/G844+I844))</f>
        <v/>
      </c>
      <c r="K844" s="2" t="inlineStr">
        <is>
          <t>2026-10-09 10:40</t>
        </is>
      </c>
      <c r="L844" s="6" t="inlineStr">
        <is>
          <t>Válido</t>
        </is>
      </c>
      <c r="M844" s="2">
        <f>IF(L844="Válido","Sim","Não")</f>
        <v/>
      </c>
      <c r="N844" s="2" t="inlineStr"/>
    </row>
    <row r="845">
      <c r="A845" s="2" t="inlineStr">
        <is>
          <t>4Bracos_2700_R1100_210W_2026-10-09_10_40.csv</t>
        </is>
      </c>
      <c r="B845" s="2" t="inlineStr">
        <is>
          <t>210W_2700RPM_R1100</t>
        </is>
      </c>
      <c r="C845" s="2" t="n">
        <v>210</v>
      </c>
      <c r="D845" s="2" t="n">
        <v>2700</v>
      </c>
      <c r="E845" s="3">
        <f>D845*2/60</f>
        <v/>
      </c>
      <c r="F845" s="2" t="inlineStr">
        <is>
          <t>1100</t>
        </is>
      </c>
      <c r="G845" s="2" t="n">
        <v>4</v>
      </c>
      <c r="H845" s="2">
        <f>INDEX(Parametros!$B$2:$B$9,MATCH(G845,Parametros!$A$2:$A$9,0))</f>
        <v/>
      </c>
      <c r="I845" s="4">
        <f>1/(VALUE(MID(F845,1,1))/Parametros!$E$2+VALUE(MID(F845,2,1))/Parametros!$E$3+VALUE(MID(F845,3,1))/Parametros!$E$4+VALUE(MID(F845,4,1))/Parametros!$E$5)</f>
        <v/>
      </c>
      <c r="J845" s="5">
        <f>IF(G845=0,Parametros!$E$8,Parametros!$E$6+Parametros!$E$6*(Parametros!$E$7/G845+I845)/(Parametros!$E$6+Parametros!$E$7/G845+I845))</f>
        <v/>
      </c>
      <c r="K845" s="2" t="inlineStr">
        <is>
          <t>2026-10-09 10:40</t>
        </is>
      </c>
      <c r="L845" s="6" t="inlineStr">
        <is>
          <t>Válido</t>
        </is>
      </c>
      <c r="M845" s="2">
        <f>IF(L845="Válido","Sim","Não")</f>
        <v/>
      </c>
      <c r="N845" s="2" t="inlineStr"/>
    </row>
    <row r="846">
      <c r="A846" s="2" t="inlineStr">
        <is>
          <t>3Bracos_2700_R1100_210W_2026-10-09_10_40.csv</t>
        </is>
      </c>
      <c r="B846" s="2" t="inlineStr">
        <is>
          <t>210W_2700RPM_R1100</t>
        </is>
      </c>
      <c r="C846" s="2" t="n">
        <v>210</v>
      </c>
      <c r="D846" s="2" t="n">
        <v>2700</v>
      </c>
      <c r="E846" s="3">
        <f>D846*2/60</f>
        <v/>
      </c>
      <c r="F846" s="2" t="inlineStr">
        <is>
          <t>1100</t>
        </is>
      </c>
      <c r="G846" s="2" t="n">
        <v>3</v>
      </c>
      <c r="H846" s="2">
        <f>INDEX(Parametros!$B$2:$B$9,MATCH(G846,Parametros!$A$2:$A$9,0))</f>
        <v/>
      </c>
      <c r="I846" s="4">
        <f>1/(VALUE(MID(F846,1,1))/Parametros!$E$2+VALUE(MID(F846,2,1))/Parametros!$E$3+VALUE(MID(F846,3,1))/Parametros!$E$4+VALUE(MID(F846,4,1))/Parametros!$E$5)</f>
        <v/>
      </c>
      <c r="J846" s="5">
        <f>IF(G846=0,Parametros!$E$8,Parametros!$E$6+Parametros!$E$6*(Parametros!$E$7/G846+I846)/(Parametros!$E$6+Parametros!$E$7/G846+I846))</f>
        <v/>
      </c>
      <c r="K846" s="2" t="inlineStr">
        <is>
          <t>2026-10-09 10:40</t>
        </is>
      </c>
      <c r="L846" s="6" t="inlineStr">
        <is>
          <t>Válido</t>
        </is>
      </c>
      <c r="M846" s="2">
        <f>IF(L846="Válido","Sim","Não")</f>
        <v/>
      </c>
      <c r="N846" s="2" t="inlineStr"/>
    </row>
    <row r="847">
      <c r="A847" s="2" t="inlineStr">
        <is>
          <t>2Bracos_2700_R1100_210W_2026-10-09_10_40.csv</t>
        </is>
      </c>
      <c r="B847" s="2" t="inlineStr">
        <is>
          <t>210W_2700RPM_R1100</t>
        </is>
      </c>
      <c r="C847" s="2" t="n">
        <v>210</v>
      </c>
      <c r="D847" s="2" t="n">
        <v>2700</v>
      </c>
      <c r="E847" s="3">
        <f>D847*2/60</f>
        <v/>
      </c>
      <c r="F847" s="2" t="inlineStr">
        <is>
          <t>1100</t>
        </is>
      </c>
      <c r="G847" s="2" t="n">
        <v>2</v>
      </c>
      <c r="H847" s="2">
        <f>INDEX(Parametros!$B$2:$B$9,MATCH(G847,Parametros!$A$2:$A$9,0))</f>
        <v/>
      </c>
      <c r="I847" s="4">
        <f>1/(VALUE(MID(F847,1,1))/Parametros!$E$2+VALUE(MID(F847,2,1))/Parametros!$E$3+VALUE(MID(F847,3,1))/Parametros!$E$4+VALUE(MID(F847,4,1))/Parametros!$E$5)</f>
        <v/>
      </c>
      <c r="J847" s="5">
        <f>IF(G847=0,Parametros!$E$8,Parametros!$E$6+Parametros!$E$6*(Parametros!$E$7/G847+I847)/(Parametros!$E$6+Parametros!$E$7/G847+I847))</f>
        <v/>
      </c>
      <c r="K847" s="2" t="inlineStr">
        <is>
          <t>2026-10-09 10:40</t>
        </is>
      </c>
      <c r="L847" s="6" t="inlineStr">
        <is>
          <t>Válido</t>
        </is>
      </c>
      <c r="M847" s="2">
        <f>IF(L847="Válido","Sim","Não")</f>
        <v/>
      </c>
      <c r="N847" s="2" t="inlineStr"/>
    </row>
    <row r="848">
      <c r="A848" s="2" t="inlineStr">
        <is>
          <t>1Bracos_2700_R1100_210W_2026-10-09_10_40.csv</t>
        </is>
      </c>
      <c r="B848" s="2" t="inlineStr">
        <is>
          <t>210W_2700RPM_R1100</t>
        </is>
      </c>
      <c r="C848" s="2" t="n">
        <v>210</v>
      </c>
      <c r="D848" s="2" t="n">
        <v>2700</v>
      </c>
      <c r="E848" s="3">
        <f>D848*2/60</f>
        <v/>
      </c>
      <c r="F848" s="2" t="inlineStr">
        <is>
          <t>1100</t>
        </is>
      </c>
      <c r="G848" s="2" t="n">
        <v>1</v>
      </c>
      <c r="H848" s="2">
        <f>INDEX(Parametros!$B$2:$B$9,MATCH(G848,Parametros!$A$2:$A$9,0))</f>
        <v/>
      </c>
      <c r="I848" s="4">
        <f>1/(VALUE(MID(F848,1,1))/Parametros!$E$2+VALUE(MID(F848,2,1))/Parametros!$E$3+VALUE(MID(F848,3,1))/Parametros!$E$4+VALUE(MID(F848,4,1))/Parametros!$E$5)</f>
        <v/>
      </c>
      <c r="J848" s="5">
        <f>IF(G848=0,Parametros!$E$8,Parametros!$E$6+Parametros!$E$6*(Parametros!$E$7/G848+I848)/(Parametros!$E$6+Parametros!$E$7/G848+I848))</f>
        <v/>
      </c>
      <c r="K848" s="2" t="inlineStr">
        <is>
          <t>2026-10-09 10:40</t>
        </is>
      </c>
      <c r="L848" s="6" t="inlineStr">
        <is>
          <t>Válido</t>
        </is>
      </c>
      <c r="M848" s="2">
        <f>IF(L848="Válido","Sim","Não")</f>
        <v/>
      </c>
      <c r="N848" s="2" t="inlineStr"/>
    </row>
    <row r="849">
      <c r="A849" s="2" t="inlineStr">
        <is>
          <t>0Bracos_2700_R1100_210W_2026-10-09_10_40.csv</t>
        </is>
      </c>
      <c r="B849" s="2" t="inlineStr">
        <is>
          <t>210W_2700RPM_R1100</t>
        </is>
      </c>
      <c r="C849" s="2" t="n">
        <v>210</v>
      </c>
      <c r="D849" s="2" t="n">
        <v>2700</v>
      </c>
      <c r="E849" s="3">
        <f>D849*2/60</f>
        <v/>
      </c>
      <c r="F849" s="2" t="inlineStr">
        <is>
          <t>1100</t>
        </is>
      </c>
      <c r="G849" s="2" t="n">
        <v>0</v>
      </c>
      <c r="H849" s="2">
        <f>INDEX(Parametros!$B$2:$B$9,MATCH(G849,Parametros!$A$2:$A$9,0))</f>
        <v/>
      </c>
      <c r="I849" s="4">
        <f>1/(VALUE(MID(F849,1,1))/Parametros!$E$2+VALUE(MID(F849,2,1))/Parametros!$E$3+VALUE(MID(F849,3,1))/Parametros!$E$4+VALUE(MID(F849,4,1))/Parametros!$E$5)</f>
        <v/>
      </c>
      <c r="J849" s="5">
        <f>IF(G849=0,Parametros!$E$8,Parametros!$E$6+Parametros!$E$6*(Parametros!$E$7/G849+I849)/(Parametros!$E$6+Parametros!$E$7/G849+I849))</f>
        <v/>
      </c>
      <c r="K849" s="2" t="inlineStr">
        <is>
          <t>2026-10-09 10:40</t>
        </is>
      </c>
      <c r="L849" s="6" t="inlineStr">
        <is>
          <t>Válido</t>
        </is>
      </c>
      <c r="M849" s="2">
        <f>IF(L849="Válido","Sim","Não")</f>
        <v/>
      </c>
      <c r="N849" s="2" t="inlineStr"/>
    </row>
    <row r="850">
      <c r="A850" s="2" t="inlineStr">
        <is>
          <t>7Bracos_2700_R1101_210W_2026-10-09_10_40.csv</t>
        </is>
      </c>
      <c r="B850" s="2" t="inlineStr">
        <is>
          <t>210W_2700RPM_R1101</t>
        </is>
      </c>
      <c r="C850" s="2" t="n">
        <v>210</v>
      </c>
      <c r="D850" s="2" t="n">
        <v>2700</v>
      </c>
      <c r="E850" s="3">
        <f>D850*2/60</f>
        <v/>
      </c>
      <c r="F850" s="2" t="inlineStr">
        <is>
          <t>1101</t>
        </is>
      </c>
      <c r="G850" s="2" t="n">
        <v>7</v>
      </c>
      <c r="H850" s="2">
        <f>INDEX(Parametros!$B$2:$B$9,MATCH(G850,Parametros!$A$2:$A$9,0))</f>
        <v/>
      </c>
      <c r="I850" s="4">
        <f>1/(VALUE(MID(F850,1,1))/Parametros!$E$2+VALUE(MID(F850,2,1))/Parametros!$E$3+VALUE(MID(F850,3,1))/Parametros!$E$4+VALUE(MID(F850,4,1))/Parametros!$E$5)</f>
        <v/>
      </c>
      <c r="J850" s="5">
        <f>IF(G850=0,Parametros!$E$8,Parametros!$E$6+Parametros!$E$6*(Parametros!$E$7/G850+I850)/(Parametros!$E$6+Parametros!$E$7/G850+I850))</f>
        <v/>
      </c>
      <c r="K850" s="2" t="inlineStr">
        <is>
          <t>2026-10-09 10:40</t>
        </is>
      </c>
      <c r="L850" s="6" t="inlineStr">
        <is>
          <t>Válido</t>
        </is>
      </c>
      <c r="M850" s="2">
        <f>IF(L850="Válido","Sim","Não")</f>
        <v/>
      </c>
      <c r="N850" s="2" t="inlineStr"/>
    </row>
    <row r="851">
      <c r="A851" s="2" t="inlineStr">
        <is>
          <t>6Bracos_2700_R1101_210W_2026-10-09_10_40.csv</t>
        </is>
      </c>
      <c r="B851" s="2" t="inlineStr">
        <is>
          <t>210W_2700RPM_R1101</t>
        </is>
      </c>
      <c r="C851" s="2" t="n">
        <v>210</v>
      </c>
      <c r="D851" s="2" t="n">
        <v>2700</v>
      </c>
      <c r="E851" s="3">
        <f>D851*2/60</f>
        <v/>
      </c>
      <c r="F851" s="2" t="inlineStr">
        <is>
          <t>1101</t>
        </is>
      </c>
      <c r="G851" s="2" t="n">
        <v>6</v>
      </c>
      <c r="H851" s="2">
        <f>INDEX(Parametros!$B$2:$B$9,MATCH(G851,Parametros!$A$2:$A$9,0))</f>
        <v/>
      </c>
      <c r="I851" s="4">
        <f>1/(VALUE(MID(F851,1,1))/Parametros!$E$2+VALUE(MID(F851,2,1))/Parametros!$E$3+VALUE(MID(F851,3,1))/Parametros!$E$4+VALUE(MID(F851,4,1))/Parametros!$E$5)</f>
        <v/>
      </c>
      <c r="J851" s="5">
        <f>IF(G851=0,Parametros!$E$8,Parametros!$E$6+Parametros!$E$6*(Parametros!$E$7/G851+I851)/(Parametros!$E$6+Parametros!$E$7/G851+I851))</f>
        <v/>
      </c>
      <c r="K851" s="2" t="inlineStr">
        <is>
          <t>2026-10-09 10:40</t>
        </is>
      </c>
      <c r="L851" s="6" t="inlineStr">
        <is>
          <t>Válido</t>
        </is>
      </c>
      <c r="M851" s="2">
        <f>IF(L851="Válido","Sim","Não")</f>
        <v/>
      </c>
      <c r="N851" s="2" t="inlineStr"/>
    </row>
    <row r="852">
      <c r="A852" s="2" t="inlineStr">
        <is>
          <t>5Bracos_2700_R1101_210W_2026-10-09_10_40.csv</t>
        </is>
      </c>
      <c r="B852" s="2" t="inlineStr">
        <is>
          <t>210W_2700RPM_R1101</t>
        </is>
      </c>
      <c r="C852" s="2" t="n">
        <v>210</v>
      </c>
      <c r="D852" s="2" t="n">
        <v>2700</v>
      </c>
      <c r="E852" s="3">
        <f>D852*2/60</f>
        <v/>
      </c>
      <c r="F852" s="2" t="inlineStr">
        <is>
          <t>1101</t>
        </is>
      </c>
      <c r="G852" s="2" t="n">
        <v>5</v>
      </c>
      <c r="H852" s="2">
        <f>INDEX(Parametros!$B$2:$B$9,MATCH(G852,Parametros!$A$2:$A$9,0))</f>
        <v/>
      </c>
      <c r="I852" s="4">
        <f>1/(VALUE(MID(F852,1,1))/Parametros!$E$2+VALUE(MID(F852,2,1))/Parametros!$E$3+VALUE(MID(F852,3,1))/Parametros!$E$4+VALUE(MID(F852,4,1))/Parametros!$E$5)</f>
        <v/>
      </c>
      <c r="J852" s="5">
        <f>IF(G852=0,Parametros!$E$8,Parametros!$E$6+Parametros!$E$6*(Parametros!$E$7/G852+I852)/(Parametros!$E$6+Parametros!$E$7/G852+I852))</f>
        <v/>
      </c>
      <c r="K852" s="2" t="inlineStr">
        <is>
          <t>2026-10-09 10:40</t>
        </is>
      </c>
      <c r="L852" s="6" t="inlineStr">
        <is>
          <t>Válido</t>
        </is>
      </c>
      <c r="M852" s="2">
        <f>IF(L852="Válido","Sim","Não")</f>
        <v/>
      </c>
      <c r="N852" s="2" t="inlineStr"/>
    </row>
    <row r="853">
      <c r="A853" s="2" t="inlineStr">
        <is>
          <t>4Bracos_2700_R1101_210W_2026-10-09_10_40.csv</t>
        </is>
      </c>
      <c r="B853" s="2" t="inlineStr">
        <is>
          <t>210W_2700RPM_R1101</t>
        </is>
      </c>
      <c r="C853" s="2" t="n">
        <v>210</v>
      </c>
      <c r="D853" s="2" t="n">
        <v>2700</v>
      </c>
      <c r="E853" s="3">
        <f>D853*2/60</f>
        <v/>
      </c>
      <c r="F853" s="2" t="inlineStr">
        <is>
          <t>1101</t>
        </is>
      </c>
      <c r="G853" s="2" t="n">
        <v>4</v>
      </c>
      <c r="H853" s="2">
        <f>INDEX(Parametros!$B$2:$B$9,MATCH(G853,Parametros!$A$2:$A$9,0))</f>
        <v/>
      </c>
      <c r="I853" s="4">
        <f>1/(VALUE(MID(F853,1,1))/Parametros!$E$2+VALUE(MID(F853,2,1))/Parametros!$E$3+VALUE(MID(F853,3,1))/Parametros!$E$4+VALUE(MID(F853,4,1))/Parametros!$E$5)</f>
        <v/>
      </c>
      <c r="J853" s="5">
        <f>IF(G853=0,Parametros!$E$8,Parametros!$E$6+Parametros!$E$6*(Parametros!$E$7/G853+I853)/(Parametros!$E$6+Parametros!$E$7/G853+I853))</f>
        <v/>
      </c>
      <c r="K853" s="2" t="inlineStr">
        <is>
          <t>2026-10-09 10:40</t>
        </is>
      </c>
      <c r="L853" s="6" t="inlineStr">
        <is>
          <t>Válido</t>
        </is>
      </c>
      <c r="M853" s="2">
        <f>IF(L853="Válido","Sim","Não")</f>
        <v/>
      </c>
      <c r="N853" s="2" t="inlineStr"/>
    </row>
    <row r="854">
      <c r="A854" s="2" t="inlineStr">
        <is>
          <t>3Bracos_2700_R1101_210W_2026-10-09_10_40.csv</t>
        </is>
      </c>
      <c r="B854" s="2" t="inlineStr">
        <is>
          <t>210W_2700RPM_R1101</t>
        </is>
      </c>
      <c r="C854" s="2" t="n">
        <v>210</v>
      </c>
      <c r="D854" s="2" t="n">
        <v>2700</v>
      </c>
      <c r="E854" s="3">
        <f>D854*2/60</f>
        <v/>
      </c>
      <c r="F854" s="2" t="inlineStr">
        <is>
          <t>1101</t>
        </is>
      </c>
      <c r="G854" s="2" t="n">
        <v>3</v>
      </c>
      <c r="H854" s="2">
        <f>INDEX(Parametros!$B$2:$B$9,MATCH(G854,Parametros!$A$2:$A$9,0))</f>
        <v/>
      </c>
      <c r="I854" s="4">
        <f>1/(VALUE(MID(F854,1,1))/Parametros!$E$2+VALUE(MID(F854,2,1))/Parametros!$E$3+VALUE(MID(F854,3,1))/Parametros!$E$4+VALUE(MID(F854,4,1))/Parametros!$E$5)</f>
        <v/>
      </c>
      <c r="J854" s="5">
        <f>IF(G854=0,Parametros!$E$8,Parametros!$E$6+Parametros!$E$6*(Parametros!$E$7/G854+I854)/(Parametros!$E$6+Parametros!$E$7/G854+I854))</f>
        <v/>
      </c>
      <c r="K854" s="2" t="inlineStr">
        <is>
          <t>2026-10-09 10:40</t>
        </is>
      </c>
      <c r="L854" s="6" t="inlineStr">
        <is>
          <t>Válido</t>
        </is>
      </c>
      <c r="M854" s="2">
        <f>IF(L854="Válido","Sim","Não")</f>
        <v/>
      </c>
      <c r="N854" s="2" t="inlineStr"/>
    </row>
    <row r="855">
      <c r="A855" s="2" t="inlineStr">
        <is>
          <t>2Bracos_2700_R1101_210W_2026-10-09_10_40.csv</t>
        </is>
      </c>
      <c r="B855" s="2" t="inlineStr">
        <is>
          <t>210W_2700RPM_R1101</t>
        </is>
      </c>
      <c r="C855" s="2" t="n">
        <v>210</v>
      </c>
      <c r="D855" s="2" t="n">
        <v>2700</v>
      </c>
      <c r="E855" s="3">
        <f>D855*2/60</f>
        <v/>
      </c>
      <c r="F855" s="2" t="inlineStr">
        <is>
          <t>1101</t>
        </is>
      </c>
      <c r="G855" s="2" t="n">
        <v>2</v>
      </c>
      <c r="H855" s="2">
        <f>INDEX(Parametros!$B$2:$B$9,MATCH(G855,Parametros!$A$2:$A$9,0))</f>
        <v/>
      </c>
      <c r="I855" s="4">
        <f>1/(VALUE(MID(F855,1,1))/Parametros!$E$2+VALUE(MID(F855,2,1))/Parametros!$E$3+VALUE(MID(F855,3,1))/Parametros!$E$4+VALUE(MID(F855,4,1))/Parametros!$E$5)</f>
        <v/>
      </c>
      <c r="J855" s="5">
        <f>IF(G855=0,Parametros!$E$8,Parametros!$E$6+Parametros!$E$6*(Parametros!$E$7/G855+I855)/(Parametros!$E$6+Parametros!$E$7/G855+I855))</f>
        <v/>
      </c>
      <c r="K855" s="2" t="inlineStr">
        <is>
          <t>2026-10-09 10:40</t>
        </is>
      </c>
      <c r="L855" s="6" t="inlineStr">
        <is>
          <t>Válido</t>
        </is>
      </c>
      <c r="M855" s="2">
        <f>IF(L855="Válido","Sim","Não")</f>
        <v/>
      </c>
      <c r="N855" s="2" t="inlineStr"/>
    </row>
    <row r="856">
      <c r="A856" s="2" t="inlineStr">
        <is>
          <t>1Bracos_2700_R1101_210W_2026-10-09_10_40.csv</t>
        </is>
      </c>
      <c r="B856" s="2" t="inlineStr">
        <is>
          <t>210W_2700RPM_R1101</t>
        </is>
      </c>
      <c r="C856" s="2" t="n">
        <v>210</v>
      </c>
      <c r="D856" s="2" t="n">
        <v>2700</v>
      </c>
      <c r="E856" s="3">
        <f>D856*2/60</f>
        <v/>
      </c>
      <c r="F856" s="2" t="inlineStr">
        <is>
          <t>1101</t>
        </is>
      </c>
      <c r="G856" s="2" t="n">
        <v>1</v>
      </c>
      <c r="H856" s="2">
        <f>INDEX(Parametros!$B$2:$B$9,MATCH(G856,Parametros!$A$2:$A$9,0))</f>
        <v/>
      </c>
      <c r="I856" s="4">
        <f>1/(VALUE(MID(F856,1,1))/Parametros!$E$2+VALUE(MID(F856,2,1))/Parametros!$E$3+VALUE(MID(F856,3,1))/Parametros!$E$4+VALUE(MID(F856,4,1))/Parametros!$E$5)</f>
        <v/>
      </c>
      <c r="J856" s="5">
        <f>IF(G856=0,Parametros!$E$8,Parametros!$E$6+Parametros!$E$6*(Parametros!$E$7/G856+I856)/(Parametros!$E$6+Parametros!$E$7/G856+I856))</f>
        <v/>
      </c>
      <c r="K856" s="2" t="inlineStr">
        <is>
          <t>2026-10-09 10:40</t>
        </is>
      </c>
      <c r="L856" s="6" t="inlineStr">
        <is>
          <t>Válido</t>
        </is>
      </c>
      <c r="M856" s="2">
        <f>IF(L856="Válido","Sim","Não")</f>
        <v/>
      </c>
      <c r="N856" s="2" t="inlineStr"/>
    </row>
    <row r="857">
      <c r="A857" s="2" t="inlineStr">
        <is>
          <t>0Bracos_2700_R1101_210W_2026-10-09_10_40.csv</t>
        </is>
      </c>
      <c r="B857" s="2" t="inlineStr">
        <is>
          <t>210W_2700RPM_R1101</t>
        </is>
      </c>
      <c r="C857" s="2" t="n">
        <v>210</v>
      </c>
      <c r="D857" s="2" t="n">
        <v>2700</v>
      </c>
      <c r="E857" s="3">
        <f>D857*2/60</f>
        <v/>
      </c>
      <c r="F857" s="2" t="inlineStr">
        <is>
          <t>1101</t>
        </is>
      </c>
      <c r="G857" s="2" t="n">
        <v>0</v>
      </c>
      <c r="H857" s="2">
        <f>INDEX(Parametros!$B$2:$B$9,MATCH(G857,Parametros!$A$2:$A$9,0))</f>
        <v/>
      </c>
      <c r="I857" s="4">
        <f>1/(VALUE(MID(F857,1,1))/Parametros!$E$2+VALUE(MID(F857,2,1))/Parametros!$E$3+VALUE(MID(F857,3,1))/Parametros!$E$4+VALUE(MID(F857,4,1))/Parametros!$E$5)</f>
        <v/>
      </c>
      <c r="J857" s="5">
        <f>IF(G857=0,Parametros!$E$8,Parametros!$E$6+Parametros!$E$6*(Parametros!$E$7/G857+I857)/(Parametros!$E$6+Parametros!$E$7/G857+I857))</f>
        <v/>
      </c>
      <c r="K857" s="2" t="inlineStr">
        <is>
          <t>2026-10-09 10:40</t>
        </is>
      </c>
      <c r="L857" s="6" t="inlineStr">
        <is>
          <t>Válido</t>
        </is>
      </c>
      <c r="M857" s="2">
        <f>IF(L857="Válido","Sim","Não")</f>
        <v/>
      </c>
      <c r="N857" s="2" t="inlineStr"/>
    </row>
    <row r="858">
      <c r="A858" s="2" t="inlineStr">
        <is>
          <t>7Bracos_2700_R1110_210W_2026-10-09_10_40.csv</t>
        </is>
      </c>
      <c r="B858" s="2" t="inlineStr">
        <is>
          <t>210W_2700RPM_R1110</t>
        </is>
      </c>
      <c r="C858" s="2" t="n">
        <v>210</v>
      </c>
      <c r="D858" s="2" t="n">
        <v>2700</v>
      </c>
      <c r="E858" s="3">
        <f>D858*2/60</f>
        <v/>
      </c>
      <c r="F858" s="2" t="inlineStr">
        <is>
          <t>1110</t>
        </is>
      </c>
      <c r="G858" s="2" t="n">
        <v>7</v>
      </c>
      <c r="H858" s="2">
        <f>INDEX(Parametros!$B$2:$B$9,MATCH(G858,Parametros!$A$2:$A$9,0))</f>
        <v/>
      </c>
      <c r="I858" s="4">
        <f>1/(VALUE(MID(F858,1,1))/Parametros!$E$2+VALUE(MID(F858,2,1))/Parametros!$E$3+VALUE(MID(F858,3,1))/Parametros!$E$4+VALUE(MID(F858,4,1))/Parametros!$E$5)</f>
        <v/>
      </c>
      <c r="J858" s="5">
        <f>IF(G858=0,Parametros!$E$8,Parametros!$E$6+Parametros!$E$6*(Parametros!$E$7/G858+I858)/(Parametros!$E$6+Parametros!$E$7/G858+I858))</f>
        <v/>
      </c>
      <c r="K858" s="2" t="inlineStr">
        <is>
          <t>2026-10-09 10:40</t>
        </is>
      </c>
      <c r="L858" s="6" t="inlineStr">
        <is>
          <t>Válido</t>
        </is>
      </c>
      <c r="M858" s="2">
        <f>IF(L858="Válido","Sim","Não")</f>
        <v/>
      </c>
      <c r="N858" s="2" t="inlineStr"/>
    </row>
    <row r="859">
      <c r="A859" s="2" t="inlineStr">
        <is>
          <t>6Bracos_2700_R1110_210W_2026-10-09_10_40.csv</t>
        </is>
      </c>
      <c r="B859" s="2" t="inlineStr">
        <is>
          <t>210W_2700RPM_R1110</t>
        </is>
      </c>
      <c r="C859" s="2" t="n">
        <v>210</v>
      </c>
      <c r="D859" s="2" t="n">
        <v>2700</v>
      </c>
      <c r="E859" s="3">
        <f>D859*2/60</f>
        <v/>
      </c>
      <c r="F859" s="2" t="inlineStr">
        <is>
          <t>1110</t>
        </is>
      </c>
      <c r="G859" s="2" t="n">
        <v>6</v>
      </c>
      <c r="H859" s="2">
        <f>INDEX(Parametros!$B$2:$B$9,MATCH(G859,Parametros!$A$2:$A$9,0))</f>
        <v/>
      </c>
      <c r="I859" s="4">
        <f>1/(VALUE(MID(F859,1,1))/Parametros!$E$2+VALUE(MID(F859,2,1))/Parametros!$E$3+VALUE(MID(F859,3,1))/Parametros!$E$4+VALUE(MID(F859,4,1))/Parametros!$E$5)</f>
        <v/>
      </c>
      <c r="J859" s="5">
        <f>IF(G859=0,Parametros!$E$8,Parametros!$E$6+Parametros!$E$6*(Parametros!$E$7/G859+I859)/(Parametros!$E$6+Parametros!$E$7/G859+I859))</f>
        <v/>
      </c>
      <c r="K859" s="2" t="inlineStr">
        <is>
          <t>2026-10-09 10:40</t>
        </is>
      </c>
      <c r="L859" s="6" t="inlineStr">
        <is>
          <t>Válido</t>
        </is>
      </c>
      <c r="M859" s="2">
        <f>IF(L859="Válido","Sim","Não")</f>
        <v/>
      </c>
      <c r="N859" s="2" t="inlineStr"/>
    </row>
    <row r="860">
      <c r="A860" s="2" t="inlineStr">
        <is>
          <t>5Bracos_2700_R1110_210W_2026-10-09_10_40.csv</t>
        </is>
      </c>
      <c r="B860" s="2" t="inlineStr">
        <is>
          <t>210W_2700RPM_R1110</t>
        </is>
      </c>
      <c r="C860" s="2" t="n">
        <v>210</v>
      </c>
      <c r="D860" s="2" t="n">
        <v>2700</v>
      </c>
      <c r="E860" s="3">
        <f>D860*2/60</f>
        <v/>
      </c>
      <c r="F860" s="2" t="inlineStr">
        <is>
          <t>1110</t>
        </is>
      </c>
      <c r="G860" s="2" t="n">
        <v>5</v>
      </c>
      <c r="H860" s="2">
        <f>INDEX(Parametros!$B$2:$B$9,MATCH(G860,Parametros!$A$2:$A$9,0))</f>
        <v/>
      </c>
      <c r="I860" s="4">
        <f>1/(VALUE(MID(F860,1,1))/Parametros!$E$2+VALUE(MID(F860,2,1))/Parametros!$E$3+VALUE(MID(F860,3,1))/Parametros!$E$4+VALUE(MID(F860,4,1))/Parametros!$E$5)</f>
        <v/>
      </c>
      <c r="J860" s="5">
        <f>IF(G860=0,Parametros!$E$8,Parametros!$E$6+Parametros!$E$6*(Parametros!$E$7/G860+I860)/(Parametros!$E$6+Parametros!$E$7/G860+I860))</f>
        <v/>
      </c>
      <c r="K860" s="2" t="inlineStr">
        <is>
          <t>2026-10-09 10:40</t>
        </is>
      </c>
      <c r="L860" s="6" t="inlineStr">
        <is>
          <t>Válido</t>
        </is>
      </c>
      <c r="M860" s="2">
        <f>IF(L860="Válido","Sim","Não")</f>
        <v/>
      </c>
      <c r="N860" s="2" t="inlineStr"/>
    </row>
    <row r="861">
      <c r="A861" s="2" t="inlineStr">
        <is>
          <t>4Bracos_2700_R1110_210W_2026-10-09_10_40.csv</t>
        </is>
      </c>
      <c r="B861" s="2" t="inlineStr">
        <is>
          <t>210W_2700RPM_R1110</t>
        </is>
      </c>
      <c r="C861" s="2" t="n">
        <v>210</v>
      </c>
      <c r="D861" s="2" t="n">
        <v>2700</v>
      </c>
      <c r="E861" s="3">
        <f>D861*2/60</f>
        <v/>
      </c>
      <c r="F861" s="2" t="inlineStr">
        <is>
          <t>1110</t>
        </is>
      </c>
      <c r="G861" s="2" t="n">
        <v>4</v>
      </c>
      <c r="H861" s="2">
        <f>INDEX(Parametros!$B$2:$B$9,MATCH(G861,Parametros!$A$2:$A$9,0))</f>
        <v/>
      </c>
      <c r="I861" s="4">
        <f>1/(VALUE(MID(F861,1,1))/Parametros!$E$2+VALUE(MID(F861,2,1))/Parametros!$E$3+VALUE(MID(F861,3,1))/Parametros!$E$4+VALUE(MID(F861,4,1))/Parametros!$E$5)</f>
        <v/>
      </c>
      <c r="J861" s="5">
        <f>IF(G861=0,Parametros!$E$8,Parametros!$E$6+Parametros!$E$6*(Parametros!$E$7/G861+I861)/(Parametros!$E$6+Parametros!$E$7/G861+I861))</f>
        <v/>
      </c>
      <c r="K861" s="2" t="inlineStr">
        <is>
          <t>2026-10-09 10:40</t>
        </is>
      </c>
      <c r="L861" s="6" t="inlineStr">
        <is>
          <t>Válido</t>
        </is>
      </c>
      <c r="M861" s="2">
        <f>IF(L861="Válido","Sim","Não")</f>
        <v/>
      </c>
      <c r="N861" s="2" t="inlineStr"/>
    </row>
    <row r="862">
      <c r="A862" s="2" t="inlineStr">
        <is>
          <t>3Bracos_2700_R1110_210W_2026-10-09_10_40.csv</t>
        </is>
      </c>
      <c r="B862" s="2" t="inlineStr">
        <is>
          <t>210W_2700RPM_R1110</t>
        </is>
      </c>
      <c r="C862" s="2" t="n">
        <v>210</v>
      </c>
      <c r="D862" s="2" t="n">
        <v>2700</v>
      </c>
      <c r="E862" s="3">
        <f>D862*2/60</f>
        <v/>
      </c>
      <c r="F862" s="2" t="inlineStr">
        <is>
          <t>1110</t>
        </is>
      </c>
      <c r="G862" s="2" t="n">
        <v>3</v>
      </c>
      <c r="H862" s="2">
        <f>INDEX(Parametros!$B$2:$B$9,MATCH(G862,Parametros!$A$2:$A$9,0))</f>
        <v/>
      </c>
      <c r="I862" s="4">
        <f>1/(VALUE(MID(F862,1,1))/Parametros!$E$2+VALUE(MID(F862,2,1))/Parametros!$E$3+VALUE(MID(F862,3,1))/Parametros!$E$4+VALUE(MID(F862,4,1))/Parametros!$E$5)</f>
        <v/>
      </c>
      <c r="J862" s="5">
        <f>IF(G862=0,Parametros!$E$8,Parametros!$E$6+Parametros!$E$6*(Parametros!$E$7/G862+I862)/(Parametros!$E$6+Parametros!$E$7/G862+I862))</f>
        <v/>
      </c>
      <c r="K862" s="2" t="inlineStr">
        <is>
          <t>2026-10-09 10:40</t>
        </is>
      </c>
      <c r="L862" s="6" t="inlineStr">
        <is>
          <t>Válido</t>
        </is>
      </c>
      <c r="M862" s="2">
        <f>IF(L862="Válido","Sim","Não")</f>
        <v/>
      </c>
      <c r="N862" s="2" t="inlineStr"/>
    </row>
    <row r="863">
      <c r="A863" s="2" t="inlineStr">
        <is>
          <t>2Bracos_2700_R1110_210W_2026-10-09_10_40.csv</t>
        </is>
      </c>
      <c r="B863" s="2" t="inlineStr">
        <is>
          <t>210W_2700RPM_R1110</t>
        </is>
      </c>
      <c r="C863" s="2" t="n">
        <v>210</v>
      </c>
      <c r="D863" s="2" t="n">
        <v>2700</v>
      </c>
      <c r="E863" s="3">
        <f>D863*2/60</f>
        <v/>
      </c>
      <c r="F863" s="2" t="inlineStr">
        <is>
          <t>1110</t>
        </is>
      </c>
      <c r="G863" s="2" t="n">
        <v>2</v>
      </c>
      <c r="H863" s="2">
        <f>INDEX(Parametros!$B$2:$B$9,MATCH(G863,Parametros!$A$2:$A$9,0))</f>
        <v/>
      </c>
      <c r="I863" s="4">
        <f>1/(VALUE(MID(F863,1,1))/Parametros!$E$2+VALUE(MID(F863,2,1))/Parametros!$E$3+VALUE(MID(F863,3,1))/Parametros!$E$4+VALUE(MID(F863,4,1))/Parametros!$E$5)</f>
        <v/>
      </c>
      <c r="J863" s="5">
        <f>IF(G863=0,Parametros!$E$8,Parametros!$E$6+Parametros!$E$6*(Parametros!$E$7/G863+I863)/(Parametros!$E$6+Parametros!$E$7/G863+I863))</f>
        <v/>
      </c>
      <c r="K863" s="2" t="inlineStr">
        <is>
          <t>2026-10-09 10:40</t>
        </is>
      </c>
      <c r="L863" s="6" t="inlineStr">
        <is>
          <t>Válido</t>
        </is>
      </c>
      <c r="M863" s="2">
        <f>IF(L863="Válido","Sim","Não")</f>
        <v/>
      </c>
      <c r="N863" s="2" t="inlineStr"/>
    </row>
    <row r="864">
      <c r="A864" s="2" t="inlineStr">
        <is>
          <t>1Bracos_2700_R1110_210W_2026-10-09_10_40.csv</t>
        </is>
      </c>
      <c r="B864" s="2" t="inlineStr">
        <is>
          <t>210W_2700RPM_R1110</t>
        </is>
      </c>
      <c r="C864" s="2" t="n">
        <v>210</v>
      </c>
      <c r="D864" s="2" t="n">
        <v>2700</v>
      </c>
      <c r="E864" s="3">
        <f>D864*2/60</f>
        <v/>
      </c>
      <c r="F864" s="2" t="inlineStr">
        <is>
          <t>1110</t>
        </is>
      </c>
      <c r="G864" s="2" t="n">
        <v>1</v>
      </c>
      <c r="H864" s="2">
        <f>INDEX(Parametros!$B$2:$B$9,MATCH(G864,Parametros!$A$2:$A$9,0))</f>
        <v/>
      </c>
      <c r="I864" s="4">
        <f>1/(VALUE(MID(F864,1,1))/Parametros!$E$2+VALUE(MID(F864,2,1))/Parametros!$E$3+VALUE(MID(F864,3,1))/Parametros!$E$4+VALUE(MID(F864,4,1))/Parametros!$E$5)</f>
        <v/>
      </c>
      <c r="J864" s="5">
        <f>IF(G864=0,Parametros!$E$8,Parametros!$E$6+Parametros!$E$6*(Parametros!$E$7/G864+I864)/(Parametros!$E$6+Parametros!$E$7/G864+I864))</f>
        <v/>
      </c>
      <c r="K864" s="2" t="inlineStr">
        <is>
          <t>2026-10-09 10:40</t>
        </is>
      </c>
      <c r="L864" s="6" t="inlineStr">
        <is>
          <t>Válido</t>
        </is>
      </c>
      <c r="M864" s="2">
        <f>IF(L864="Válido","Sim","Não")</f>
        <v/>
      </c>
      <c r="N864" s="2" t="inlineStr"/>
    </row>
    <row r="865">
      <c r="A865" s="2" t="inlineStr">
        <is>
          <t>0Bracos_2700_R1110_210W_2026-10-09_10_40.csv</t>
        </is>
      </c>
      <c r="B865" s="2" t="inlineStr">
        <is>
          <t>210W_2700RPM_R1110</t>
        </is>
      </c>
      <c r="C865" s="2" t="n">
        <v>210</v>
      </c>
      <c r="D865" s="2" t="n">
        <v>2700</v>
      </c>
      <c r="E865" s="3">
        <f>D865*2/60</f>
        <v/>
      </c>
      <c r="F865" s="2" t="inlineStr">
        <is>
          <t>1110</t>
        </is>
      </c>
      <c r="G865" s="2" t="n">
        <v>0</v>
      </c>
      <c r="H865" s="2">
        <f>INDEX(Parametros!$B$2:$B$9,MATCH(G865,Parametros!$A$2:$A$9,0))</f>
        <v/>
      </c>
      <c r="I865" s="4">
        <f>1/(VALUE(MID(F865,1,1))/Parametros!$E$2+VALUE(MID(F865,2,1))/Parametros!$E$3+VALUE(MID(F865,3,1))/Parametros!$E$4+VALUE(MID(F865,4,1))/Parametros!$E$5)</f>
        <v/>
      </c>
      <c r="J865" s="5">
        <f>IF(G865=0,Parametros!$E$8,Parametros!$E$6+Parametros!$E$6*(Parametros!$E$7/G865+I865)/(Parametros!$E$6+Parametros!$E$7/G865+I865))</f>
        <v/>
      </c>
      <c r="K865" s="2" t="inlineStr">
        <is>
          <t>2026-10-09 10:40</t>
        </is>
      </c>
      <c r="L865" s="6" t="inlineStr">
        <is>
          <t>Válido</t>
        </is>
      </c>
      <c r="M865" s="2">
        <f>IF(L865="Válido","Sim","Não")</f>
        <v/>
      </c>
      <c r="N865" s="2" t="inlineStr"/>
    </row>
    <row r="866">
      <c r="A866" s="2" t="inlineStr">
        <is>
          <t>7Bracos_2700_R1111_210W_2026-10-09_10_40.csv</t>
        </is>
      </c>
      <c r="B866" s="2" t="inlineStr">
        <is>
          <t>210W_2700RPM_R1111</t>
        </is>
      </c>
      <c r="C866" s="2" t="n">
        <v>210</v>
      </c>
      <c r="D866" s="2" t="n">
        <v>2700</v>
      </c>
      <c r="E866" s="3">
        <f>D866*2/60</f>
        <v/>
      </c>
      <c r="F866" s="2" t="inlineStr">
        <is>
          <t>1111</t>
        </is>
      </c>
      <c r="G866" s="2" t="n">
        <v>7</v>
      </c>
      <c r="H866" s="2">
        <f>INDEX(Parametros!$B$2:$B$9,MATCH(G866,Parametros!$A$2:$A$9,0))</f>
        <v/>
      </c>
      <c r="I866" s="4">
        <f>1/(VALUE(MID(F866,1,1))/Parametros!$E$2+VALUE(MID(F866,2,1))/Parametros!$E$3+VALUE(MID(F866,3,1))/Parametros!$E$4+VALUE(MID(F866,4,1))/Parametros!$E$5)</f>
        <v/>
      </c>
      <c r="J866" s="5">
        <f>IF(G866=0,Parametros!$E$8,Parametros!$E$6+Parametros!$E$6*(Parametros!$E$7/G866+I866)/(Parametros!$E$6+Parametros!$E$7/G866+I866))</f>
        <v/>
      </c>
      <c r="K866" s="2" t="inlineStr">
        <is>
          <t>2026-10-09 10:40</t>
        </is>
      </c>
      <c r="L866" s="6" t="inlineStr">
        <is>
          <t>Válido</t>
        </is>
      </c>
      <c r="M866" s="2">
        <f>IF(L866="Válido","Sim","Não")</f>
        <v/>
      </c>
      <c r="N866" s="2" t="inlineStr"/>
    </row>
    <row r="867">
      <c r="A867" s="2" t="inlineStr">
        <is>
          <t>6Bracos_2700_R1111_210W_2026-10-09_10_40.csv</t>
        </is>
      </c>
      <c r="B867" s="2" t="inlineStr">
        <is>
          <t>210W_2700RPM_R1111</t>
        </is>
      </c>
      <c r="C867" s="2" t="n">
        <v>210</v>
      </c>
      <c r="D867" s="2" t="n">
        <v>2700</v>
      </c>
      <c r="E867" s="3">
        <f>D867*2/60</f>
        <v/>
      </c>
      <c r="F867" s="2" t="inlineStr">
        <is>
          <t>1111</t>
        </is>
      </c>
      <c r="G867" s="2" t="n">
        <v>6</v>
      </c>
      <c r="H867" s="2">
        <f>INDEX(Parametros!$B$2:$B$9,MATCH(G867,Parametros!$A$2:$A$9,0))</f>
        <v/>
      </c>
      <c r="I867" s="4">
        <f>1/(VALUE(MID(F867,1,1))/Parametros!$E$2+VALUE(MID(F867,2,1))/Parametros!$E$3+VALUE(MID(F867,3,1))/Parametros!$E$4+VALUE(MID(F867,4,1))/Parametros!$E$5)</f>
        <v/>
      </c>
      <c r="J867" s="5">
        <f>IF(G867=0,Parametros!$E$8,Parametros!$E$6+Parametros!$E$6*(Parametros!$E$7/G867+I867)/(Parametros!$E$6+Parametros!$E$7/G867+I867))</f>
        <v/>
      </c>
      <c r="K867" s="2" t="inlineStr">
        <is>
          <t>2026-10-09 10:40</t>
        </is>
      </c>
      <c r="L867" s="6" t="inlineStr">
        <is>
          <t>Válido</t>
        </is>
      </c>
      <c r="M867" s="2">
        <f>IF(L867="Válido","Sim","Não")</f>
        <v/>
      </c>
      <c r="N867" s="2" t="inlineStr"/>
    </row>
    <row r="868">
      <c r="A868" s="2" t="inlineStr">
        <is>
          <t>5Bracos_2700_R1111_210W_2026-10-09_10_40.csv</t>
        </is>
      </c>
      <c r="B868" s="2" t="inlineStr">
        <is>
          <t>210W_2700RPM_R1111</t>
        </is>
      </c>
      <c r="C868" s="2" t="n">
        <v>210</v>
      </c>
      <c r="D868" s="2" t="n">
        <v>2700</v>
      </c>
      <c r="E868" s="3">
        <f>D868*2/60</f>
        <v/>
      </c>
      <c r="F868" s="2" t="inlineStr">
        <is>
          <t>1111</t>
        </is>
      </c>
      <c r="G868" s="2" t="n">
        <v>5</v>
      </c>
      <c r="H868" s="2">
        <f>INDEX(Parametros!$B$2:$B$9,MATCH(G868,Parametros!$A$2:$A$9,0))</f>
        <v/>
      </c>
      <c r="I868" s="4">
        <f>1/(VALUE(MID(F868,1,1))/Parametros!$E$2+VALUE(MID(F868,2,1))/Parametros!$E$3+VALUE(MID(F868,3,1))/Parametros!$E$4+VALUE(MID(F868,4,1))/Parametros!$E$5)</f>
        <v/>
      </c>
      <c r="J868" s="5">
        <f>IF(G868=0,Parametros!$E$8,Parametros!$E$6+Parametros!$E$6*(Parametros!$E$7/G868+I868)/(Parametros!$E$6+Parametros!$E$7/G868+I868))</f>
        <v/>
      </c>
      <c r="K868" s="2" t="inlineStr">
        <is>
          <t>2026-10-09 10:40</t>
        </is>
      </c>
      <c r="L868" s="6" t="inlineStr">
        <is>
          <t>Válido</t>
        </is>
      </c>
      <c r="M868" s="2">
        <f>IF(L868="Válido","Sim","Não")</f>
        <v/>
      </c>
      <c r="N868" s="2" t="inlineStr"/>
    </row>
    <row r="869">
      <c r="A869" s="2" t="inlineStr">
        <is>
          <t>4Bracos_2700_R1111_210W_2026-10-09_10_40.csv</t>
        </is>
      </c>
      <c r="B869" s="2" t="inlineStr">
        <is>
          <t>210W_2700RPM_R1111</t>
        </is>
      </c>
      <c r="C869" s="2" t="n">
        <v>210</v>
      </c>
      <c r="D869" s="2" t="n">
        <v>2700</v>
      </c>
      <c r="E869" s="3">
        <f>D869*2/60</f>
        <v/>
      </c>
      <c r="F869" s="2" t="inlineStr">
        <is>
          <t>1111</t>
        </is>
      </c>
      <c r="G869" s="2" t="n">
        <v>4</v>
      </c>
      <c r="H869" s="2">
        <f>INDEX(Parametros!$B$2:$B$9,MATCH(G869,Parametros!$A$2:$A$9,0))</f>
        <v/>
      </c>
      <c r="I869" s="4">
        <f>1/(VALUE(MID(F869,1,1))/Parametros!$E$2+VALUE(MID(F869,2,1))/Parametros!$E$3+VALUE(MID(F869,3,1))/Parametros!$E$4+VALUE(MID(F869,4,1))/Parametros!$E$5)</f>
        <v/>
      </c>
      <c r="J869" s="5">
        <f>IF(G869=0,Parametros!$E$8,Parametros!$E$6+Parametros!$E$6*(Parametros!$E$7/G869+I869)/(Parametros!$E$6+Parametros!$E$7/G869+I869))</f>
        <v/>
      </c>
      <c r="K869" s="2" t="inlineStr">
        <is>
          <t>2026-10-09 10:40</t>
        </is>
      </c>
      <c r="L869" s="6" t="inlineStr">
        <is>
          <t>Válido</t>
        </is>
      </c>
      <c r="M869" s="2">
        <f>IF(L869="Válido","Sim","Não")</f>
        <v/>
      </c>
      <c r="N869" s="2" t="inlineStr"/>
    </row>
    <row r="870">
      <c r="A870" s="2" t="inlineStr">
        <is>
          <t>3Bracos_2700_R1111_210W_2026-10-09_10_40.csv</t>
        </is>
      </c>
      <c r="B870" s="2" t="inlineStr">
        <is>
          <t>210W_2700RPM_R1111</t>
        </is>
      </c>
      <c r="C870" s="2" t="n">
        <v>210</v>
      </c>
      <c r="D870" s="2" t="n">
        <v>2700</v>
      </c>
      <c r="E870" s="3">
        <f>D870*2/60</f>
        <v/>
      </c>
      <c r="F870" s="2" t="inlineStr">
        <is>
          <t>1111</t>
        </is>
      </c>
      <c r="G870" s="2" t="n">
        <v>3</v>
      </c>
      <c r="H870" s="2">
        <f>INDEX(Parametros!$B$2:$B$9,MATCH(G870,Parametros!$A$2:$A$9,0))</f>
        <v/>
      </c>
      <c r="I870" s="4">
        <f>1/(VALUE(MID(F870,1,1))/Parametros!$E$2+VALUE(MID(F870,2,1))/Parametros!$E$3+VALUE(MID(F870,3,1))/Parametros!$E$4+VALUE(MID(F870,4,1))/Parametros!$E$5)</f>
        <v/>
      </c>
      <c r="J870" s="5">
        <f>IF(G870=0,Parametros!$E$8,Parametros!$E$6+Parametros!$E$6*(Parametros!$E$7/G870+I870)/(Parametros!$E$6+Parametros!$E$7/G870+I870))</f>
        <v/>
      </c>
      <c r="K870" s="2" t="inlineStr">
        <is>
          <t>2026-10-09 10:40</t>
        </is>
      </c>
      <c r="L870" s="6" t="inlineStr">
        <is>
          <t>Válido</t>
        </is>
      </c>
      <c r="M870" s="2">
        <f>IF(L870="Válido","Sim","Não")</f>
        <v/>
      </c>
      <c r="N870" s="2" t="inlineStr"/>
    </row>
    <row r="871">
      <c r="A871" s="2" t="inlineStr">
        <is>
          <t>2Bracos_2700_R1111_210W_2026-10-09_10_40.csv</t>
        </is>
      </c>
      <c r="B871" s="2" t="inlineStr">
        <is>
          <t>210W_2700RPM_R1111</t>
        </is>
      </c>
      <c r="C871" s="2" t="n">
        <v>210</v>
      </c>
      <c r="D871" s="2" t="n">
        <v>2700</v>
      </c>
      <c r="E871" s="3">
        <f>D871*2/60</f>
        <v/>
      </c>
      <c r="F871" s="2" t="inlineStr">
        <is>
          <t>1111</t>
        </is>
      </c>
      <c r="G871" s="2" t="n">
        <v>2</v>
      </c>
      <c r="H871" s="2">
        <f>INDEX(Parametros!$B$2:$B$9,MATCH(G871,Parametros!$A$2:$A$9,0))</f>
        <v/>
      </c>
      <c r="I871" s="4">
        <f>1/(VALUE(MID(F871,1,1))/Parametros!$E$2+VALUE(MID(F871,2,1))/Parametros!$E$3+VALUE(MID(F871,3,1))/Parametros!$E$4+VALUE(MID(F871,4,1))/Parametros!$E$5)</f>
        <v/>
      </c>
      <c r="J871" s="5">
        <f>IF(G871=0,Parametros!$E$8,Parametros!$E$6+Parametros!$E$6*(Parametros!$E$7/G871+I871)/(Parametros!$E$6+Parametros!$E$7/G871+I871))</f>
        <v/>
      </c>
      <c r="K871" s="2" t="inlineStr">
        <is>
          <t>2026-10-09 10:40</t>
        </is>
      </c>
      <c r="L871" s="6" t="inlineStr">
        <is>
          <t>Válido</t>
        </is>
      </c>
      <c r="M871" s="2">
        <f>IF(L871="Válido","Sim","Não")</f>
        <v/>
      </c>
      <c r="N871" s="2" t="inlineStr"/>
    </row>
    <row r="872">
      <c r="A872" s="2" t="inlineStr">
        <is>
          <t>1Bracos_2700_R1111_210W_2026-10-09_10_40.csv</t>
        </is>
      </c>
      <c r="B872" s="2" t="inlineStr">
        <is>
          <t>210W_2700RPM_R1111</t>
        </is>
      </c>
      <c r="C872" s="2" t="n">
        <v>210</v>
      </c>
      <c r="D872" s="2" t="n">
        <v>2700</v>
      </c>
      <c r="E872" s="3">
        <f>D872*2/60</f>
        <v/>
      </c>
      <c r="F872" s="2" t="inlineStr">
        <is>
          <t>1111</t>
        </is>
      </c>
      <c r="G872" s="2" t="n">
        <v>1</v>
      </c>
      <c r="H872" s="2">
        <f>INDEX(Parametros!$B$2:$B$9,MATCH(G872,Parametros!$A$2:$A$9,0))</f>
        <v/>
      </c>
      <c r="I872" s="4">
        <f>1/(VALUE(MID(F872,1,1))/Parametros!$E$2+VALUE(MID(F872,2,1))/Parametros!$E$3+VALUE(MID(F872,3,1))/Parametros!$E$4+VALUE(MID(F872,4,1))/Parametros!$E$5)</f>
        <v/>
      </c>
      <c r="J872" s="5">
        <f>IF(G872=0,Parametros!$E$8,Parametros!$E$6+Parametros!$E$6*(Parametros!$E$7/G872+I872)/(Parametros!$E$6+Parametros!$E$7/G872+I872))</f>
        <v/>
      </c>
      <c r="K872" s="2" t="inlineStr">
        <is>
          <t>2026-10-09 10:40</t>
        </is>
      </c>
      <c r="L872" s="6" t="inlineStr">
        <is>
          <t>Válido</t>
        </is>
      </c>
      <c r="M872" s="2">
        <f>IF(L872="Válido","Sim","Não")</f>
        <v/>
      </c>
      <c r="N872" s="2" t="inlineStr"/>
    </row>
    <row r="873">
      <c r="A873" s="2" t="inlineStr">
        <is>
          <t>0Bracos_2700_R1111_210W_2026-10-09_10_40.csv</t>
        </is>
      </c>
      <c r="B873" s="2" t="inlineStr">
        <is>
          <t>210W_2700RPM_R1111</t>
        </is>
      </c>
      <c r="C873" s="2" t="n">
        <v>210</v>
      </c>
      <c r="D873" s="2" t="n">
        <v>2700</v>
      </c>
      <c r="E873" s="3">
        <f>D873*2/60</f>
        <v/>
      </c>
      <c r="F873" s="2" t="inlineStr">
        <is>
          <t>1111</t>
        </is>
      </c>
      <c r="G873" s="2" t="n">
        <v>0</v>
      </c>
      <c r="H873" s="2">
        <f>INDEX(Parametros!$B$2:$B$9,MATCH(G873,Parametros!$A$2:$A$9,0))</f>
        <v/>
      </c>
      <c r="I873" s="4">
        <f>1/(VALUE(MID(F873,1,1))/Parametros!$E$2+VALUE(MID(F873,2,1))/Parametros!$E$3+VALUE(MID(F873,3,1))/Parametros!$E$4+VALUE(MID(F873,4,1))/Parametros!$E$5)</f>
        <v/>
      </c>
      <c r="J873" s="5">
        <f>IF(G873=0,Parametros!$E$8,Parametros!$E$6+Parametros!$E$6*(Parametros!$E$7/G873+I873)/(Parametros!$E$6+Parametros!$E$7/G873+I873))</f>
        <v/>
      </c>
      <c r="K873" s="2" t="inlineStr">
        <is>
          <t>2026-10-09 10:40</t>
        </is>
      </c>
      <c r="L873" s="6" t="inlineStr">
        <is>
          <t>Válido</t>
        </is>
      </c>
      <c r="M873" s="2">
        <f>IF(L873="Válido","Sim","Não")</f>
        <v/>
      </c>
      <c r="N873" s="2" t="inlineStr"/>
    </row>
    <row r="874">
      <c r="A874" s="2" t="inlineStr">
        <is>
          <t>7Bracos_3000_R0001_210W_2026-09-29_13_30.csv</t>
        </is>
      </c>
      <c r="B874" s="2" t="inlineStr">
        <is>
          <t>210W_3000RPM_R0001</t>
        </is>
      </c>
      <c r="C874" s="2" t="n">
        <v>210</v>
      </c>
      <c r="D874" s="2" t="n">
        <v>3000</v>
      </c>
      <c r="E874" s="3">
        <f>D874*2/60</f>
        <v/>
      </c>
      <c r="F874" s="2" t="inlineStr">
        <is>
          <t>0001</t>
        </is>
      </c>
      <c r="G874" s="2" t="n">
        <v>7</v>
      </c>
      <c r="H874" s="2">
        <f>INDEX(Parametros!$B$2:$B$9,MATCH(G874,Parametros!$A$2:$A$9,0))</f>
        <v/>
      </c>
      <c r="I874" s="4">
        <f>1/(VALUE(MID(F874,1,1))/Parametros!$E$2+VALUE(MID(F874,2,1))/Parametros!$E$3+VALUE(MID(F874,3,1))/Parametros!$E$4+VALUE(MID(F874,4,1))/Parametros!$E$5)</f>
        <v/>
      </c>
      <c r="J874" s="5">
        <f>IF(G874=0,Parametros!$E$8,Parametros!$E$6+Parametros!$E$6*(Parametros!$E$7/G874+I874)/(Parametros!$E$6+Parametros!$E$7/G874+I874))</f>
        <v/>
      </c>
      <c r="K874" s="2" t="inlineStr">
        <is>
          <t>2026-09-29 13:30</t>
        </is>
      </c>
      <c r="L874" s="6" t="inlineStr">
        <is>
          <t>Válido</t>
        </is>
      </c>
      <c r="M874" s="2">
        <f>IF(L874="Válido","Sim","Não")</f>
        <v/>
      </c>
      <c r="N874" s="2" t="inlineStr"/>
    </row>
    <row r="875">
      <c r="A875" s="2" t="inlineStr">
        <is>
          <t>6Bracos_3000_R0001_210W_2026-09-29_13_30.csv</t>
        </is>
      </c>
      <c r="B875" s="2" t="inlineStr">
        <is>
          <t>210W_3000RPM_R0001</t>
        </is>
      </c>
      <c r="C875" s="2" t="n">
        <v>210</v>
      </c>
      <c r="D875" s="2" t="n">
        <v>3000</v>
      </c>
      <c r="E875" s="3">
        <f>D875*2/60</f>
        <v/>
      </c>
      <c r="F875" s="2" t="inlineStr">
        <is>
          <t>0001</t>
        </is>
      </c>
      <c r="G875" s="2" t="n">
        <v>6</v>
      </c>
      <c r="H875" s="2">
        <f>INDEX(Parametros!$B$2:$B$9,MATCH(G875,Parametros!$A$2:$A$9,0))</f>
        <v/>
      </c>
      <c r="I875" s="4">
        <f>1/(VALUE(MID(F875,1,1))/Parametros!$E$2+VALUE(MID(F875,2,1))/Parametros!$E$3+VALUE(MID(F875,3,1))/Parametros!$E$4+VALUE(MID(F875,4,1))/Parametros!$E$5)</f>
        <v/>
      </c>
      <c r="J875" s="5">
        <f>IF(G875=0,Parametros!$E$8,Parametros!$E$6+Parametros!$E$6*(Parametros!$E$7/G875+I875)/(Parametros!$E$6+Parametros!$E$7/G875+I875))</f>
        <v/>
      </c>
      <c r="K875" s="2" t="inlineStr">
        <is>
          <t>2026-09-29 13:30</t>
        </is>
      </c>
      <c r="L875" s="6" t="inlineStr">
        <is>
          <t>Válido</t>
        </is>
      </c>
      <c r="M875" s="2">
        <f>IF(L875="Válido","Sim","Não")</f>
        <v/>
      </c>
      <c r="N875" s="2" t="inlineStr"/>
    </row>
    <row r="876">
      <c r="A876" s="2" t="inlineStr">
        <is>
          <t>5Bracos_3000_R0001_210W_2026-09-29_13_30.csv</t>
        </is>
      </c>
      <c r="B876" s="2" t="inlineStr">
        <is>
          <t>210W_3000RPM_R0001</t>
        </is>
      </c>
      <c r="C876" s="2" t="n">
        <v>210</v>
      </c>
      <c r="D876" s="2" t="n">
        <v>3000</v>
      </c>
      <c r="E876" s="3">
        <f>D876*2/60</f>
        <v/>
      </c>
      <c r="F876" s="2" t="inlineStr">
        <is>
          <t>0001</t>
        </is>
      </c>
      <c r="G876" s="2" t="n">
        <v>5</v>
      </c>
      <c r="H876" s="2">
        <f>INDEX(Parametros!$B$2:$B$9,MATCH(G876,Parametros!$A$2:$A$9,0))</f>
        <v/>
      </c>
      <c r="I876" s="4">
        <f>1/(VALUE(MID(F876,1,1))/Parametros!$E$2+VALUE(MID(F876,2,1))/Parametros!$E$3+VALUE(MID(F876,3,1))/Parametros!$E$4+VALUE(MID(F876,4,1))/Parametros!$E$5)</f>
        <v/>
      </c>
      <c r="J876" s="5">
        <f>IF(G876=0,Parametros!$E$8,Parametros!$E$6+Parametros!$E$6*(Parametros!$E$7/G876+I876)/(Parametros!$E$6+Parametros!$E$7/G876+I876))</f>
        <v/>
      </c>
      <c r="K876" s="2" t="inlineStr">
        <is>
          <t>2026-09-29 13:30</t>
        </is>
      </c>
      <c r="L876" s="6" t="inlineStr">
        <is>
          <t>Válido</t>
        </is>
      </c>
      <c r="M876" s="2">
        <f>IF(L876="Válido","Sim","Não")</f>
        <v/>
      </c>
      <c r="N876" s="2" t="inlineStr"/>
    </row>
    <row r="877">
      <c r="A877" s="2" t="inlineStr">
        <is>
          <t>4Bracos_3000_R0001_210W_2026-09-29_13_30.csv</t>
        </is>
      </c>
      <c r="B877" s="2" t="inlineStr">
        <is>
          <t>210W_3000RPM_R0001</t>
        </is>
      </c>
      <c r="C877" s="2" t="n">
        <v>210</v>
      </c>
      <c r="D877" s="2" t="n">
        <v>3000</v>
      </c>
      <c r="E877" s="3">
        <f>D877*2/60</f>
        <v/>
      </c>
      <c r="F877" s="2" t="inlineStr">
        <is>
          <t>0001</t>
        </is>
      </c>
      <c r="G877" s="2" t="n">
        <v>4</v>
      </c>
      <c r="H877" s="2">
        <f>INDEX(Parametros!$B$2:$B$9,MATCH(G877,Parametros!$A$2:$A$9,0))</f>
        <v/>
      </c>
      <c r="I877" s="4">
        <f>1/(VALUE(MID(F877,1,1))/Parametros!$E$2+VALUE(MID(F877,2,1))/Parametros!$E$3+VALUE(MID(F877,3,1))/Parametros!$E$4+VALUE(MID(F877,4,1))/Parametros!$E$5)</f>
        <v/>
      </c>
      <c r="J877" s="5">
        <f>IF(G877=0,Parametros!$E$8,Parametros!$E$6+Parametros!$E$6*(Parametros!$E$7/G877+I877)/(Parametros!$E$6+Parametros!$E$7/G877+I877))</f>
        <v/>
      </c>
      <c r="K877" s="2" t="inlineStr">
        <is>
          <t>2026-09-29 13:30</t>
        </is>
      </c>
      <c r="L877" s="6" t="inlineStr">
        <is>
          <t>Válido</t>
        </is>
      </c>
      <c r="M877" s="2">
        <f>IF(L877="Válido","Sim","Não")</f>
        <v/>
      </c>
      <c r="N877" s="2" t="inlineStr"/>
    </row>
    <row r="878">
      <c r="A878" s="2" t="inlineStr">
        <is>
          <t>3Bracos_3000_R0001_210W_2026-09-29_13_30.csv</t>
        </is>
      </c>
      <c r="B878" s="2" t="inlineStr">
        <is>
          <t>210W_3000RPM_R0001</t>
        </is>
      </c>
      <c r="C878" s="2" t="n">
        <v>210</v>
      </c>
      <c r="D878" s="2" t="n">
        <v>3000</v>
      </c>
      <c r="E878" s="3">
        <f>D878*2/60</f>
        <v/>
      </c>
      <c r="F878" s="2" t="inlineStr">
        <is>
          <t>0001</t>
        </is>
      </c>
      <c r="G878" s="2" t="n">
        <v>3</v>
      </c>
      <c r="H878" s="2">
        <f>INDEX(Parametros!$B$2:$B$9,MATCH(G878,Parametros!$A$2:$A$9,0))</f>
        <v/>
      </c>
      <c r="I878" s="4">
        <f>1/(VALUE(MID(F878,1,1))/Parametros!$E$2+VALUE(MID(F878,2,1))/Parametros!$E$3+VALUE(MID(F878,3,1))/Parametros!$E$4+VALUE(MID(F878,4,1))/Parametros!$E$5)</f>
        <v/>
      </c>
      <c r="J878" s="5">
        <f>IF(G878=0,Parametros!$E$8,Parametros!$E$6+Parametros!$E$6*(Parametros!$E$7/G878+I878)/(Parametros!$E$6+Parametros!$E$7/G878+I878))</f>
        <v/>
      </c>
      <c r="K878" s="2" t="inlineStr">
        <is>
          <t>2026-09-29 13:30</t>
        </is>
      </c>
      <c r="L878" s="6" t="inlineStr">
        <is>
          <t>Válido</t>
        </is>
      </c>
      <c r="M878" s="2">
        <f>IF(L878="Válido","Sim","Não")</f>
        <v/>
      </c>
      <c r="N878" s="2" t="inlineStr"/>
    </row>
    <row r="879">
      <c r="A879" s="2" t="inlineStr">
        <is>
          <t>2Bracos_3000_R0001_210W_2026-09-29_13_30.csv</t>
        </is>
      </c>
      <c r="B879" s="2" t="inlineStr">
        <is>
          <t>210W_3000RPM_R0001</t>
        </is>
      </c>
      <c r="C879" s="2" t="n">
        <v>210</v>
      </c>
      <c r="D879" s="2" t="n">
        <v>3000</v>
      </c>
      <c r="E879" s="3">
        <f>D879*2/60</f>
        <v/>
      </c>
      <c r="F879" s="2" t="inlineStr">
        <is>
          <t>0001</t>
        </is>
      </c>
      <c r="G879" s="2" t="n">
        <v>2</v>
      </c>
      <c r="H879" s="2">
        <f>INDEX(Parametros!$B$2:$B$9,MATCH(G879,Parametros!$A$2:$A$9,0))</f>
        <v/>
      </c>
      <c r="I879" s="4">
        <f>1/(VALUE(MID(F879,1,1))/Parametros!$E$2+VALUE(MID(F879,2,1))/Parametros!$E$3+VALUE(MID(F879,3,1))/Parametros!$E$4+VALUE(MID(F879,4,1))/Parametros!$E$5)</f>
        <v/>
      </c>
      <c r="J879" s="5">
        <f>IF(G879=0,Parametros!$E$8,Parametros!$E$6+Parametros!$E$6*(Parametros!$E$7/G879+I879)/(Parametros!$E$6+Parametros!$E$7/G879+I879))</f>
        <v/>
      </c>
      <c r="K879" s="2" t="inlineStr">
        <is>
          <t>2026-09-29 13:30</t>
        </is>
      </c>
      <c r="L879" s="6" t="inlineStr">
        <is>
          <t>Válido</t>
        </is>
      </c>
      <c r="M879" s="2">
        <f>IF(L879="Válido","Sim","Não")</f>
        <v/>
      </c>
      <c r="N879" s="2" t="inlineStr"/>
    </row>
    <row r="880">
      <c r="A880" s="2" t="inlineStr">
        <is>
          <t>1Bracos_3000_R0001_210W_2026-09-29_13_30.csv</t>
        </is>
      </c>
      <c r="B880" s="2" t="inlineStr">
        <is>
          <t>210W_3000RPM_R0001</t>
        </is>
      </c>
      <c r="C880" s="2" t="n">
        <v>210</v>
      </c>
      <c r="D880" s="2" t="n">
        <v>3000</v>
      </c>
      <c r="E880" s="3">
        <f>D880*2/60</f>
        <v/>
      </c>
      <c r="F880" s="2" t="inlineStr">
        <is>
          <t>0001</t>
        </is>
      </c>
      <c r="G880" s="2" t="n">
        <v>1</v>
      </c>
      <c r="H880" s="2">
        <f>INDEX(Parametros!$B$2:$B$9,MATCH(G880,Parametros!$A$2:$A$9,0))</f>
        <v/>
      </c>
      <c r="I880" s="4">
        <f>1/(VALUE(MID(F880,1,1))/Parametros!$E$2+VALUE(MID(F880,2,1))/Parametros!$E$3+VALUE(MID(F880,3,1))/Parametros!$E$4+VALUE(MID(F880,4,1))/Parametros!$E$5)</f>
        <v/>
      </c>
      <c r="J880" s="5">
        <f>IF(G880=0,Parametros!$E$8,Parametros!$E$6+Parametros!$E$6*(Parametros!$E$7/G880+I880)/(Parametros!$E$6+Parametros!$E$7/G880+I880))</f>
        <v/>
      </c>
      <c r="K880" s="2" t="inlineStr">
        <is>
          <t>2026-09-29 13:30</t>
        </is>
      </c>
      <c r="L880" s="6" t="inlineStr">
        <is>
          <t>Válido</t>
        </is>
      </c>
      <c r="M880" s="2">
        <f>IF(L880="Válido","Sim","Não")</f>
        <v/>
      </c>
      <c r="N880" s="2" t="inlineStr"/>
    </row>
    <row r="881">
      <c r="A881" s="2" t="inlineStr">
        <is>
          <t>0Bracos_3000_R0001_210W_2026-09-29_13_30.csv</t>
        </is>
      </c>
      <c r="B881" s="2" t="inlineStr">
        <is>
          <t>210W_3000RPM_R0001</t>
        </is>
      </c>
      <c r="C881" s="2" t="n">
        <v>210</v>
      </c>
      <c r="D881" s="2" t="n">
        <v>3000</v>
      </c>
      <c r="E881" s="3">
        <f>D881*2/60</f>
        <v/>
      </c>
      <c r="F881" s="2" t="inlineStr">
        <is>
          <t>0001</t>
        </is>
      </c>
      <c r="G881" s="2" t="n">
        <v>0</v>
      </c>
      <c r="H881" s="2">
        <f>INDEX(Parametros!$B$2:$B$9,MATCH(G881,Parametros!$A$2:$A$9,0))</f>
        <v/>
      </c>
      <c r="I881" s="4">
        <f>1/(VALUE(MID(F881,1,1))/Parametros!$E$2+VALUE(MID(F881,2,1))/Parametros!$E$3+VALUE(MID(F881,3,1))/Parametros!$E$4+VALUE(MID(F881,4,1))/Parametros!$E$5)</f>
        <v/>
      </c>
      <c r="J881" s="5">
        <f>IF(G881=0,Parametros!$E$8,Parametros!$E$6+Parametros!$E$6*(Parametros!$E$7/G881+I881)/(Parametros!$E$6+Parametros!$E$7/G881+I881))</f>
        <v/>
      </c>
      <c r="K881" s="2" t="inlineStr">
        <is>
          <t>2026-09-29 13:30</t>
        </is>
      </c>
      <c r="L881" s="6" t="inlineStr">
        <is>
          <t>Válido</t>
        </is>
      </c>
      <c r="M881" s="2">
        <f>IF(L881="Válido","Sim","Não")</f>
        <v/>
      </c>
      <c r="N881" s="2" t="inlineStr"/>
    </row>
    <row r="882">
      <c r="A882" s="2" t="inlineStr">
        <is>
          <t>7Bracos_3000_R0010_210W_2026-10-09_12_20.csv</t>
        </is>
      </c>
      <c r="B882" s="2" t="inlineStr">
        <is>
          <t>210W_3000RPM_R0010</t>
        </is>
      </c>
      <c r="C882" s="2" t="n">
        <v>210</v>
      </c>
      <c r="D882" s="2" t="n">
        <v>3000</v>
      </c>
      <c r="E882" s="3">
        <f>D882*2/60</f>
        <v/>
      </c>
      <c r="F882" s="2" t="inlineStr">
        <is>
          <t>0010</t>
        </is>
      </c>
      <c r="G882" s="2" t="n">
        <v>7</v>
      </c>
      <c r="H882" s="2">
        <f>INDEX(Parametros!$B$2:$B$9,MATCH(G882,Parametros!$A$2:$A$9,0))</f>
        <v/>
      </c>
      <c r="I882" s="4">
        <f>1/(VALUE(MID(F882,1,1))/Parametros!$E$2+VALUE(MID(F882,2,1))/Parametros!$E$3+VALUE(MID(F882,3,1))/Parametros!$E$4+VALUE(MID(F882,4,1))/Parametros!$E$5)</f>
        <v/>
      </c>
      <c r="J882" s="5">
        <f>IF(G882=0,Parametros!$E$8,Parametros!$E$6+Parametros!$E$6*(Parametros!$E$7/G882+I882)/(Parametros!$E$6+Parametros!$E$7/G882+I882))</f>
        <v/>
      </c>
      <c r="K882" s="2" t="inlineStr">
        <is>
          <t>2026-10-09 12:20</t>
        </is>
      </c>
      <c r="L882" s="6" t="inlineStr">
        <is>
          <t>Válido</t>
        </is>
      </c>
      <c r="M882" s="2">
        <f>IF(L882="Válido","Sim","Não")</f>
        <v/>
      </c>
      <c r="N882" s="2" t="inlineStr"/>
    </row>
    <row r="883">
      <c r="A883" s="2" t="inlineStr">
        <is>
          <t>6Bracos_3000_R0010_210W_2026-10-09_12_20.csv</t>
        </is>
      </c>
      <c r="B883" s="2" t="inlineStr">
        <is>
          <t>210W_3000RPM_R0010</t>
        </is>
      </c>
      <c r="C883" s="2" t="n">
        <v>210</v>
      </c>
      <c r="D883" s="2" t="n">
        <v>3000</v>
      </c>
      <c r="E883" s="3">
        <f>D883*2/60</f>
        <v/>
      </c>
      <c r="F883" s="2" t="inlineStr">
        <is>
          <t>0010</t>
        </is>
      </c>
      <c r="G883" s="2" t="n">
        <v>6</v>
      </c>
      <c r="H883" s="2">
        <f>INDEX(Parametros!$B$2:$B$9,MATCH(G883,Parametros!$A$2:$A$9,0))</f>
        <v/>
      </c>
      <c r="I883" s="4">
        <f>1/(VALUE(MID(F883,1,1))/Parametros!$E$2+VALUE(MID(F883,2,1))/Parametros!$E$3+VALUE(MID(F883,3,1))/Parametros!$E$4+VALUE(MID(F883,4,1))/Parametros!$E$5)</f>
        <v/>
      </c>
      <c r="J883" s="5">
        <f>IF(G883=0,Parametros!$E$8,Parametros!$E$6+Parametros!$E$6*(Parametros!$E$7/G883+I883)/(Parametros!$E$6+Parametros!$E$7/G883+I883))</f>
        <v/>
      </c>
      <c r="K883" s="2" t="inlineStr">
        <is>
          <t>2026-10-09 12:20</t>
        </is>
      </c>
      <c r="L883" s="6" t="inlineStr">
        <is>
          <t>Válido</t>
        </is>
      </c>
      <c r="M883" s="2">
        <f>IF(L883="Válido","Sim","Não")</f>
        <v/>
      </c>
      <c r="N883" s="2" t="inlineStr"/>
    </row>
    <row r="884">
      <c r="A884" s="2" t="inlineStr">
        <is>
          <t>5Bracos_3000_R0010_210W_2026-10-09_12_20.csv</t>
        </is>
      </c>
      <c r="B884" s="2" t="inlineStr">
        <is>
          <t>210W_3000RPM_R0010</t>
        </is>
      </c>
      <c r="C884" s="2" t="n">
        <v>210</v>
      </c>
      <c r="D884" s="2" t="n">
        <v>3000</v>
      </c>
      <c r="E884" s="3">
        <f>D884*2/60</f>
        <v/>
      </c>
      <c r="F884" s="2" t="inlineStr">
        <is>
          <t>0010</t>
        </is>
      </c>
      <c r="G884" s="2" t="n">
        <v>5</v>
      </c>
      <c r="H884" s="2">
        <f>INDEX(Parametros!$B$2:$B$9,MATCH(G884,Parametros!$A$2:$A$9,0))</f>
        <v/>
      </c>
      <c r="I884" s="4">
        <f>1/(VALUE(MID(F884,1,1))/Parametros!$E$2+VALUE(MID(F884,2,1))/Parametros!$E$3+VALUE(MID(F884,3,1))/Parametros!$E$4+VALUE(MID(F884,4,1))/Parametros!$E$5)</f>
        <v/>
      </c>
      <c r="J884" s="5">
        <f>IF(G884=0,Parametros!$E$8,Parametros!$E$6+Parametros!$E$6*(Parametros!$E$7/G884+I884)/(Parametros!$E$6+Parametros!$E$7/G884+I884))</f>
        <v/>
      </c>
      <c r="K884" s="2" t="inlineStr">
        <is>
          <t>2026-10-09 12:20</t>
        </is>
      </c>
      <c r="L884" s="6" t="inlineStr">
        <is>
          <t>Válido</t>
        </is>
      </c>
      <c r="M884" s="2">
        <f>IF(L884="Válido","Sim","Não")</f>
        <v/>
      </c>
      <c r="N884" s="2" t="inlineStr"/>
    </row>
    <row r="885">
      <c r="A885" s="2" t="inlineStr">
        <is>
          <t>4Bracos_3000_R0010_210W_2026-10-09_12_20.csv</t>
        </is>
      </c>
      <c r="B885" s="2" t="inlineStr">
        <is>
          <t>210W_3000RPM_R0010</t>
        </is>
      </c>
      <c r="C885" s="2" t="n">
        <v>210</v>
      </c>
      <c r="D885" s="2" t="n">
        <v>3000</v>
      </c>
      <c r="E885" s="3">
        <f>D885*2/60</f>
        <v/>
      </c>
      <c r="F885" s="2" t="inlineStr">
        <is>
          <t>0010</t>
        </is>
      </c>
      <c r="G885" s="2" t="n">
        <v>4</v>
      </c>
      <c r="H885" s="2">
        <f>INDEX(Parametros!$B$2:$B$9,MATCH(G885,Parametros!$A$2:$A$9,0))</f>
        <v/>
      </c>
      <c r="I885" s="4">
        <f>1/(VALUE(MID(F885,1,1))/Parametros!$E$2+VALUE(MID(F885,2,1))/Parametros!$E$3+VALUE(MID(F885,3,1))/Parametros!$E$4+VALUE(MID(F885,4,1))/Parametros!$E$5)</f>
        <v/>
      </c>
      <c r="J885" s="5">
        <f>IF(G885=0,Parametros!$E$8,Parametros!$E$6+Parametros!$E$6*(Parametros!$E$7/G885+I885)/(Parametros!$E$6+Parametros!$E$7/G885+I885))</f>
        <v/>
      </c>
      <c r="K885" s="2" t="inlineStr">
        <is>
          <t>2026-10-09 12:20</t>
        </is>
      </c>
      <c r="L885" s="6" t="inlineStr">
        <is>
          <t>Válido</t>
        </is>
      </c>
      <c r="M885" s="2">
        <f>IF(L885="Válido","Sim","Não")</f>
        <v/>
      </c>
      <c r="N885" s="2" t="inlineStr"/>
    </row>
    <row r="886">
      <c r="A886" s="2" t="inlineStr">
        <is>
          <t>3Bracos_3000_R0010_210W_2026-10-09_12_20.csv</t>
        </is>
      </c>
      <c r="B886" s="2" t="inlineStr">
        <is>
          <t>210W_3000RPM_R0010</t>
        </is>
      </c>
      <c r="C886" s="2" t="n">
        <v>210</v>
      </c>
      <c r="D886" s="2" t="n">
        <v>3000</v>
      </c>
      <c r="E886" s="3">
        <f>D886*2/60</f>
        <v/>
      </c>
      <c r="F886" s="2" t="inlineStr">
        <is>
          <t>0010</t>
        </is>
      </c>
      <c r="G886" s="2" t="n">
        <v>3</v>
      </c>
      <c r="H886" s="2">
        <f>INDEX(Parametros!$B$2:$B$9,MATCH(G886,Parametros!$A$2:$A$9,0))</f>
        <v/>
      </c>
      <c r="I886" s="4">
        <f>1/(VALUE(MID(F886,1,1))/Parametros!$E$2+VALUE(MID(F886,2,1))/Parametros!$E$3+VALUE(MID(F886,3,1))/Parametros!$E$4+VALUE(MID(F886,4,1))/Parametros!$E$5)</f>
        <v/>
      </c>
      <c r="J886" s="5">
        <f>IF(G886=0,Parametros!$E$8,Parametros!$E$6+Parametros!$E$6*(Parametros!$E$7/G886+I886)/(Parametros!$E$6+Parametros!$E$7/G886+I886))</f>
        <v/>
      </c>
      <c r="K886" s="2" t="inlineStr">
        <is>
          <t>2026-10-09 12:20</t>
        </is>
      </c>
      <c r="L886" s="6" t="inlineStr">
        <is>
          <t>Válido</t>
        </is>
      </c>
      <c r="M886" s="2">
        <f>IF(L886="Válido","Sim","Não")</f>
        <v/>
      </c>
      <c r="N886" s="2" t="inlineStr"/>
    </row>
    <row r="887">
      <c r="A887" s="2" t="inlineStr">
        <is>
          <t>2Bracos_3000_R0010_210W_2026-10-09_12_20.csv</t>
        </is>
      </c>
      <c r="B887" s="2" t="inlineStr">
        <is>
          <t>210W_3000RPM_R0010</t>
        </is>
      </c>
      <c r="C887" s="2" t="n">
        <v>210</v>
      </c>
      <c r="D887" s="2" t="n">
        <v>3000</v>
      </c>
      <c r="E887" s="3">
        <f>D887*2/60</f>
        <v/>
      </c>
      <c r="F887" s="2" t="inlineStr">
        <is>
          <t>0010</t>
        </is>
      </c>
      <c r="G887" s="2" t="n">
        <v>2</v>
      </c>
      <c r="H887" s="2">
        <f>INDEX(Parametros!$B$2:$B$9,MATCH(G887,Parametros!$A$2:$A$9,0))</f>
        <v/>
      </c>
      <c r="I887" s="4">
        <f>1/(VALUE(MID(F887,1,1))/Parametros!$E$2+VALUE(MID(F887,2,1))/Parametros!$E$3+VALUE(MID(F887,3,1))/Parametros!$E$4+VALUE(MID(F887,4,1))/Parametros!$E$5)</f>
        <v/>
      </c>
      <c r="J887" s="5">
        <f>IF(G887=0,Parametros!$E$8,Parametros!$E$6+Parametros!$E$6*(Parametros!$E$7/G887+I887)/(Parametros!$E$6+Parametros!$E$7/G887+I887))</f>
        <v/>
      </c>
      <c r="K887" s="2" t="inlineStr">
        <is>
          <t>2026-10-09 12:20</t>
        </is>
      </c>
      <c r="L887" s="6" t="inlineStr">
        <is>
          <t>Válido</t>
        </is>
      </c>
      <c r="M887" s="2">
        <f>IF(L887="Válido","Sim","Não")</f>
        <v/>
      </c>
      <c r="N887" s="2" t="inlineStr"/>
    </row>
    <row r="888">
      <c r="A888" s="2" t="inlineStr">
        <is>
          <t>1Bracos_3000_R0010_210W_2026-10-09_12_20.csv</t>
        </is>
      </c>
      <c r="B888" s="2" t="inlineStr">
        <is>
          <t>210W_3000RPM_R0010</t>
        </is>
      </c>
      <c r="C888" s="2" t="n">
        <v>210</v>
      </c>
      <c r="D888" s="2" t="n">
        <v>3000</v>
      </c>
      <c r="E888" s="3">
        <f>D888*2/60</f>
        <v/>
      </c>
      <c r="F888" s="2" t="inlineStr">
        <is>
          <t>0010</t>
        </is>
      </c>
      <c r="G888" s="2" t="n">
        <v>1</v>
      </c>
      <c r="H888" s="2">
        <f>INDEX(Parametros!$B$2:$B$9,MATCH(G888,Parametros!$A$2:$A$9,0))</f>
        <v/>
      </c>
      <c r="I888" s="4">
        <f>1/(VALUE(MID(F888,1,1))/Parametros!$E$2+VALUE(MID(F888,2,1))/Parametros!$E$3+VALUE(MID(F888,3,1))/Parametros!$E$4+VALUE(MID(F888,4,1))/Parametros!$E$5)</f>
        <v/>
      </c>
      <c r="J888" s="5">
        <f>IF(G888=0,Parametros!$E$8,Parametros!$E$6+Parametros!$E$6*(Parametros!$E$7/G888+I888)/(Parametros!$E$6+Parametros!$E$7/G888+I888))</f>
        <v/>
      </c>
      <c r="K888" s="2" t="inlineStr">
        <is>
          <t>2026-10-09 12:20</t>
        </is>
      </c>
      <c r="L888" s="6" t="inlineStr">
        <is>
          <t>Válido</t>
        </is>
      </c>
      <c r="M888" s="2">
        <f>IF(L888="Válido","Sim","Não")</f>
        <v/>
      </c>
      <c r="N888" s="2" t="inlineStr"/>
    </row>
    <row r="889">
      <c r="A889" s="2" t="inlineStr">
        <is>
          <t>0Bracos_3000_R0010_210W_2026-10-09_12_20.csv</t>
        </is>
      </c>
      <c r="B889" s="2" t="inlineStr">
        <is>
          <t>210W_3000RPM_R0010</t>
        </is>
      </c>
      <c r="C889" s="2" t="n">
        <v>210</v>
      </c>
      <c r="D889" s="2" t="n">
        <v>3000</v>
      </c>
      <c r="E889" s="3">
        <f>D889*2/60</f>
        <v/>
      </c>
      <c r="F889" s="2" t="inlineStr">
        <is>
          <t>0010</t>
        </is>
      </c>
      <c r="G889" s="2" t="n">
        <v>0</v>
      </c>
      <c r="H889" s="2">
        <f>INDEX(Parametros!$B$2:$B$9,MATCH(G889,Parametros!$A$2:$A$9,0))</f>
        <v/>
      </c>
      <c r="I889" s="4">
        <f>1/(VALUE(MID(F889,1,1))/Parametros!$E$2+VALUE(MID(F889,2,1))/Parametros!$E$3+VALUE(MID(F889,3,1))/Parametros!$E$4+VALUE(MID(F889,4,1))/Parametros!$E$5)</f>
        <v/>
      </c>
      <c r="J889" s="5">
        <f>IF(G889=0,Parametros!$E$8,Parametros!$E$6+Parametros!$E$6*(Parametros!$E$7/G889+I889)/(Parametros!$E$6+Parametros!$E$7/G889+I889))</f>
        <v/>
      </c>
      <c r="K889" s="2" t="inlineStr">
        <is>
          <t>2026-10-09 12:20</t>
        </is>
      </c>
      <c r="L889" s="6" t="inlineStr">
        <is>
          <t>Válido</t>
        </is>
      </c>
      <c r="M889" s="2">
        <f>IF(L889="Válido","Sim","Não")</f>
        <v/>
      </c>
      <c r="N889" s="2" t="inlineStr"/>
    </row>
    <row r="890">
      <c r="A890" s="2" t="inlineStr">
        <is>
          <t>7Bracos_3000_R0010_210W_2026-09-29_13_30.csv</t>
        </is>
      </c>
      <c r="B890" s="2" t="inlineStr">
        <is>
          <t>210W_3000RPM_R0010</t>
        </is>
      </c>
      <c r="C890" s="2" t="n">
        <v>210</v>
      </c>
      <c r="D890" s="2" t="n">
        <v>3000</v>
      </c>
      <c r="E890" s="3">
        <f>D890*2/60</f>
        <v/>
      </c>
      <c r="F890" s="2" t="inlineStr">
        <is>
          <t>0010</t>
        </is>
      </c>
      <c r="G890" s="2" t="n">
        <v>7</v>
      </c>
      <c r="H890" s="2">
        <f>INDEX(Parametros!$B$2:$B$9,MATCH(G890,Parametros!$A$2:$A$9,0))</f>
        <v/>
      </c>
      <c r="I890" s="4">
        <f>1/(VALUE(MID(F890,1,1))/Parametros!$E$2+VALUE(MID(F890,2,1))/Parametros!$E$3+VALUE(MID(F890,3,1))/Parametros!$E$4+VALUE(MID(F890,4,1))/Parametros!$E$5)</f>
        <v/>
      </c>
      <c r="J890" s="5">
        <f>IF(G890=0,Parametros!$E$8,Parametros!$E$6+Parametros!$E$6*(Parametros!$E$7/G890+I890)/(Parametros!$E$6+Parametros!$E$7/G890+I890))</f>
        <v/>
      </c>
      <c r="K890" s="2" t="inlineStr">
        <is>
          <t>2026-09-29 13:30</t>
        </is>
      </c>
      <c r="L890" s="8" t="inlineStr">
        <is>
          <t>Substituído (refeito)</t>
        </is>
      </c>
      <c r="M890" s="2">
        <f>IF(L890="Válido","Sim","Não")</f>
        <v/>
      </c>
      <c r="N890" s="2" t="inlineStr">
        <is>
          <t>Existe ensaio mais novo para a mesma condição</t>
        </is>
      </c>
    </row>
    <row r="891">
      <c r="A891" s="2" t="inlineStr">
        <is>
          <t>6Bracos_3000_R0010_210W_2026-09-29_13_30.csv</t>
        </is>
      </c>
      <c r="B891" s="2" t="inlineStr">
        <is>
          <t>210W_3000RPM_R0010</t>
        </is>
      </c>
      <c r="C891" s="2" t="n">
        <v>210</v>
      </c>
      <c r="D891" s="2" t="n">
        <v>3000</v>
      </c>
      <c r="E891" s="3">
        <f>D891*2/60</f>
        <v/>
      </c>
      <c r="F891" s="2" t="inlineStr">
        <is>
          <t>0010</t>
        </is>
      </c>
      <c r="G891" s="2" t="n">
        <v>6</v>
      </c>
      <c r="H891" s="2">
        <f>INDEX(Parametros!$B$2:$B$9,MATCH(G891,Parametros!$A$2:$A$9,0))</f>
        <v/>
      </c>
      <c r="I891" s="4">
        <f>1/(VALUE(MID(F891,1,1))/Parametros!$E$2+VALUE(MID(F891,2,1))/Parametros!$E$3+VALUE(MID(F891,3,1))/Parametros!$E$4+VALUE(MID(F891,4,1))/Parametros!$E$5)</f>
        <v/>
      </c>
      <c r="J891" s="5">
        <f>IF(G891=0,Parametros!$E$8,Parametros!$E$6+Parametros!$E$6*(Parametros!$E$7/G891+I891)/(Parametros!$E$6+Parametros!$E$7/G891+I891))</f>
        <v/>
      </c>
      <c r="K891" s="2" t="inlineStr">
        <is>
          <t>2026-09-29 13:30</t>
        </is>
      </c>
      <c r="L891" s="8" t="inlineStr">
        <is>
          <t>Substituído (refeito)</t>
        </is>
      </c>
      <c r="M891" s="2">
        <f>IF(L891="Válido","Sim","Não")</f>
        <v/>
      </c>
      <c r="N891" s="2" t="inlineStr">
        <is>
          <t>Existe ensaio mais novo para a mesma condição</t>
        </is>
      </c>
    </row>
    <row r="892">
      <c r="A892" s="2" t="inlineStr">
        <is>
          <t>5Bracos_3000_R0010_210W_2026-09-29_13_30.csv</t>
        </is>
      </c>
      <c r="B892" s="2" t="inlineStr">
        <is>
          <t>210W_3000RPM_R0010</t>
        </is>
      </c>
      <c r="C892" s="2" t="n">
        <v>210</v>
      </c>
      <c r="D892" s="2" t="n">
        <v>3000</v>
      </c>
      <c r="E892" s="3">
        <f>D892*2/60</f>
        <v/>
      </c>
      <c r="F892" s="2" t="inlineStr">
        <is>
          <t>0010</t>
        </is>
      </c>
      <c r="G892" s="2" t="n">
        <v>5</v>
      </c>
      <c r="H892" s="2">
        <f>INDEX(Parametros!$B$2:$B$9,MATCH(G892,Parametros!$A$2:$A$9,0))</f>
        <v/>
      </c>
      <c r="I892" s="4">
        <f>1/(VALUE(MID(F892,1,1))/Parametros!$E$2+VALUE(MID(F892,2,1))/Parametros!$E$3+VALUE(MID(F892,3,1))/Parametros!$E$4+VALUE(MID(F892,4,1))/Parametros!$E$5)</f>
        <v/>
      </c>
      <c r="J892" s="5">
        <f>IF(G892=0,Parametros!$E$8,Parametros!$E$6+Parametros!$E$6*(Parametros!$E$7/G892+I892)/(Parametros!$E$6+Parametros!$E$7/G892+I892))</f>
        <v/>
      </c>
      <c r="K892" s="2" t="inlineStr">
        <is>
          <t>2026-09-29 13:30</t>
        </is>
      </c>
      <c r="L892" s="8" t="inlineStr">
        <is>
          <t>Substituído (refeito)</t>
        </is>
      </c>
      <c r="M892" s="2">
        <f>IF(L892="Válido","Sim","Não")</f>
        <v/>
      </c>
      <c r="N892" s="2" t="inlineStr">
        <is>
          <t>Existe ensaio mais novo para a mesma condição</t>
        </is>
      </c>
    </row>
    <row r="893">
      <c r="A893" s="2" t="inlineStr">
        <is>
          <t>4Bracos_3000_R0010_210W_2026-09-29_13_30.csv</t>
        </is>
      </c>
      <c r="B893" s="2" t="inlineStr">
        <is>
          <t>210W_3000RPM_R0010</t>
        </is>
      </c>
      <c r="C893" s="2" t="n">
        <v>210</v>
      </c>
      <c r="D893" s="2" t="n">
        <v>3000</v>
      </c>
      <c r="E893" s="3">
        <f>D893*2/60</f>
        <v/>
      </c>
      <c r="F893" s="2" t="inlineStr">
        <is>
          <t>0010</t>
        </is>
      </c>
      <c r="G893" s="2" t="n">
        <v>4</v>
      </c>
      <c r="H893" s="2">
        <f>INDEX(Parametros!$B$2:$B$9,MATCH(G893,Parametros!$A$2:$A$9,0))</f>
        <v/>
      </c>
      <c r="I893" s="4">
        <f>1/(VALUE(MID(F893,1,1))/Parametros!$E$2+VALUE(MID(F893,2,1))/Parametros!$E$3+VALUE(MID(F893,3,1))/Parametros!$E$4+VALUE(MID(F893,4,1))/Parametros!$E$5)</f>
        <v/>
      </c>
      <c r="J893" s="5">
        <f>IF(G893=0,Parametros!$E$8,Parametros!$E$6+Parametros!$E$6*(Parametros!$E$7/G893+I893)/(Parametros!$E$6+Parametros!$E$7/G893+I893))</f>
        <v/>
      </c>
      <c r="K893" s="2" t="inlineStr">
        <is>
          <t>2026-09-29 13:30</t>
        </is>
      </c>
      <c r="L893" s="8" t="inlineStr">
        <is>
          <t>Substituído (refeito)</t>
        </is>
      </c>
      <c r="M893" s="2">
        <f>IF(L893="Válido","Sim","Não")</f>
        <v/>
      </c>
      <c r="N893" s="2" t="inlineStr">
        <is>
          <t>Existe ensaio mais novo para a mesma condição</t>
        </is>
      </c>
    </row>
    <row r="894">
      <c r="A894" s="2" t="inlineStr">
        <is>
          <t>3Bracos_3000_R0010_210W_2026-09-29_13_30.csv</t>
        </is>
      </c>
      <c r="B894" s="2" t="inlineStr">
        <is>
          <t>210W_3000RPM_R0010</t>
        </is>
      </c>
      <c r="C894" s="2" t="n">
        <v>210</v>
      </c>
      <c r="D894" s="2" t="n">
        <v>3000</v>
      </c>
      <c r="E894" s="3">
        <f>D894*2/60</f>
        <v/>
      </c>
      <c r="F894" s="2" t="inlineStr">
        <is>
          <t>0010</t>
        </is>
      </c>
      <c r="G894" s="2" t="n">
        <v>3</v>
      </c>
      <c r="H894" s="2">
        <f>INDEX(Parametros!$B$2:$B$9,MATCH(G894,Parametros!$A$2:$A$9,0))</f>
        <v/>
      </c>
      <c r="I894" s="4">
        <f>1/(VALUE(MID(F894,1,1))/Parametros!$E$2+VALUE(MID(F894,2,1))/Parametros!$E$3+VALUE(MID(F894,3,1))/Parametros!$E$4+VALUE(MID(F894,4,1))/Parametros!$E$5)</f>
        <v/>
      </c>
      <c r="J894" s="5">
        <f>IF(G894=0,Parametros!$E$8,Parametros!$E$6+Parametros!$E$6*(Parametros!$E$7/G894+I894)/(Parametros!$E$6+Parametros!$E$7/G894+I894))</f>
        <v/>
      </c>
      <c r="K894" s="2" t="inlineStr">
        <is>
          <t>2026-09-29 13:30</t>
        </is>
      </c>
      <c r="L894" s="8" t="inlineStr">
        <is>
          <t>Substituído (refeito)</t>
        </is>
      </c>
      <c r="M894" s="2">
        <f>IF(L894="Válido","Sim","Não")</f>
        <v/>
      </c>
      <c r="N894" s="2" t="inlineStr">
        <is>
          <t>Existe ensaio mais novo para a mesma condição</t>
        </is>
      </c>
    </row>
    <row r="895">
      <c r="A895" s="2" t="inlineStr">
        <is>
          <t>2Bracos_3000_R0010_210W_2026-09-29_13_30.csv</t>
        </is>
      </c>
      <c r="B895" s="2" t="inlineStr">
        <is>
          <t>210W_3000RPM_R0010</t>
        </is>
      </c>
      <c r="C895" s="2" t="n">
        <v>210</v>
      </c>
      <c r="D895" s="2" t="n">
        <v>3000</v>
      </c>
      <c r="E895" s="3">
        <f>D895*2/60</f>
        <v/>
      </c>
      <c r="F895" s="2" t="inlineStr">
        <is>
          <t>0010</t>
        </is>
      </c>
      <c r="G895" s="2" t="n">
        <v>2</v>
      </c>
      <c r="H895" s="2">
        <f>INDEX(Parametros!$B$2:$B$9,MATCH(G895,Parametros!$A$2:$A$9,0))</f>
        <v/>
      </c>
      <c r="I895" s="4">
        <f>1/(VALUE(MID(F895,1,1))/Parametros!$E$2+VALUE(MID(F895,2,1))/Parametros!$E$3+VALUE(MID(F895,3,1))/Parametros!$E$4+VALUE(MID(F895,4,1))/Parametros!$E$5)</f>
        <v/>
      </c>
      <c r="J895" s="5">
        <f>IF(G895=0,Parametros!$E$8,Parametros!$E$6+Parametros!$E$6*(Parametros!$E$7/G895+I895)/(Parametros!$E$6+Parametros!$E$7/G895+I895))</f>
        <v/>
      </c>
      <c r="K895" s="2" t="inlineStr">
        <is>
          <t>2026-09-29 13:30</t>
        </is>
      </c>
      <c r="L895" s="8" t="inlineStr">
        <is>
          <t>Substituído (refeito)</t>
        </is>
      </c>
      <c r="M895" s="2">
        <f>IF(L895="Válido","Sim","Não")</f>
        <v/>
      </c>
      <c r="N895" s="2" t="inlineStr">
        <is>
          <t>Existe ensaio mais novo para a mesma condição</t>
        </is>
      </c>
    </row>
    <row r="896">
      <c r="A896" s="2" t="inlineStr">
        <is>
          <t>1Bracos_3000_R0010_210W_2026-09-29_13_30.csv</t>
        </is>
      </c>
      <c r="B896" s="2" t="inlineStr">
        <is>
          <t>210W_3000RPM_R0010</t>
        </is>
      </c>
      <c r="C896" s="2" t="n">
        <v>210</v>
      </c>
      <c r="D896" s="2" t="n">
        <v>3000</v>
      </c>
      <c r="E896" s="3">
        <f>D896*2/60</f>
        <v/>
      </c>
      <c r="F896" s="2" t="inlineStr">
        <is>
          <t>0010</t>
        </is>
      </c>
      <c r="G896" s="2" t="n">
        <v>1</v>
      </c>
      <c r="H896" s="2">
        <f>INDEX(Parametros!$B$2:$B$9,MATCH(G896,Parametros!$A$2:$A$9,0))</f>
        <v/>
      </c>
      <c r="I896" s="4">
        <f>1/(VALUE(MID(F896,1,1))/Parametros!$E$2+VALUE(MID(F896,2,1))/Parametros!$E$3+VALUE(MID(F896,3,1))/Parametros!$E$4+VALUE(MID(F896,4,1))/Parametros!$E$5)</f>
        <v/>
      </c>
      <c r="J896" s="5">
        <f>IF(G896=0,Parametros!$E$8,Parametros!$E$6+Parametros!$E$6*(Parametros!$E$7/G896+I896)/(Parametros!$E$6+Parametros!$E$7/G896+I896))</f>
        <v/>
      </c>
      <c r="K896" s="2" t="inlineStr">
        <is>
          <t>2026-09-29 13:30</t>
        </is>
      </c>
      <c r="L896" s="8" t="inlineStr">
        <is>
          <t>Substituído (refeito)</t>
        </is>
      </c>
      <c r="M896" s="2">
        <f>IF(L896="Válido","Sim","Não")</f>
        <v/>
      </c>
      <c r="N896" s="2" t="inlineStr">
        <is>
          <t>Existe ensaio mais novo para a mesma condição</t>
        </is>
      </c>
    </row>
    <row r="897">
      <c r="A897" s="2" t="inlineStr">
        <is>
          <t>0Bracos_3000_R0010_210W_2026-09-29_13_30.csv</t>
        </is>
      </c>
      <c r="B897" s="2" t="inlineStr">
        <is>
          <t>210W_3000RPM_R0010</t>
        </is>
      </c>
      <c r="C897" s="2" t="n">
        <v>210</v>
      </c>
      <c r="D897" s="2" t="n">
        <v>3000</v>
      </c>
      <c r="E897" s="3">
        <f>D897*2/60</f>
        <v/>
      </c>
      <c r="F897" s="2" t="inlineStr">
        <is>
          <t>0010</t>
        </is>
      </c>
      <c r="G897" s="2" t="n">
        <v>0</v>
      </c>
      <c r="H897" s="2">
        <f>INDEX(Parametros!$B$2:$B$9,MATCH(G897,Parametros!$A$2:$A$9,0))</f>
        <v/>
      </c>
      <c r="I897" s="4">
        <f>1/(VALUE(MID(F897,1,1))/Parametros!$E$2+VALUE(MID(F897,2,1))/Parametros!$E$3+VALUE(MID(F897,3,1))/Parametros!$E$4+VALUE(MID(F897,4,1))/Parametros!$E$5)</f>
        <v/>
      </c>
      <c r="J897" s="5">
        <f>IF(G897=0,Parametros!$E$8,Parametros!$E$6+Parametros!$E$6*(Parametros!$E$7/G897+I897)/(Parametros!$E$6+Parametros!$E$7/G897+I897))</f>
        <v/>
      </c>
      <c r="K897" s="2" t="inlineStr">
        <is>
          <t>2026-09-29 13:30</t>
        </is>
      </c>
      <c r="L897" s="8" t="inlineStr">
        <is>
          <t>Substituído (refeito)</t>
        </is>
      </c>
      <c r="M897" s="2">
        <f>IF(L897="Válido","Sim","Não")</f>
        <v/>
      </c>
      <c r="N897" s="2" t="inlineStr">
        <is>
          <t>Existe ensaio mais novo para a mesma condição</t>
        </is>
      </c>
    </row>
    <row r="898">
      <c r="A898" s="2" t="inlineStr">
        <is>
          <t>7Bracos_3000_R0011_210W_2026-09-29_13_30.csv</t>
        </is>
      </c>
      <c r="B898" s="2" t="inlineStr">
        <is>
          <t>210W_3000RPM_R0011</t>
        </is>
      </c>
      <c r="C898" s="2" t="n">
        <v>210</v>
      </c>
      <c r="D898" s="2" t="n">
        <v>3000</v>
      </c>
      <c r="E898" s="3">
        <f>D898*2/60</f>
        <v/>
      </c>
      <c r="F898" s="2" t="inlineStr">
        <is>
          <t>0011</t>
        </is>
      </c>
      <c r="G898" s="2" t="n">
        <v>7</v>
      </c>
      <c r="H898" s="2">
        <f>INDEX(Parametros!$B$2:$B$9,MATCH(G898,Parametros!$A$2:$A$9,0))</f>
        <v/>
      </c>
      <c r="I898" s="4">
        <f>1/(VALUE(MID(F898,1,1))/Parametros!$E$2+VALUE(MID(F898,2,1))/Parametros!$E$3+VALUE(MID(F898,3,1))/Parametros!$E$4+VALUE(MID(F898,4,1))/Parametros!$E$5)</f>
        <v/>
      </c>
      <c r="J898" s="5">
        <f>IF(G898=0,Parametros!$E$8,Parametros!$E$6+Parametros!$E$6*(Parametros!$E$7/G898+I898)/(Parametros!$E$6+Parametros!$E$7/G898+I898))</f>
        <v/>
      </c>
      <c r="K898" s="2" t="inlineStr">
        <is>
          <t>2026-09-29 13:30</t>
        </is>
      </c>
      <c r="L898" s="6" t="inlineStr">
        <is>
          <t>Válido</t>
        </is>
      </c>
      <c r="M898" s="2">
        <f>IF(L898="Válido","Sim","Não")</f>
        <v/>
      </c>
      <c r="N898" s="2" t="inlineStr"/>
    </row>
    <row r="899">
      <c r="A899" s="2" t="inlineStr">
        <is>
          <t>6Bracos_3000_R0011_210W_2026-09-29_13_30.csv</t>
        </is>
      </c>
      <c r="B899" s="2" t="inlineStr">
        <is>
          <t>210W_3000RPM_R0011</t>
        </is>
      </c>
      <c r="C899" s="2" t="n">
        <v>210</v>
      </c>
      <c r="D899" s="2" t="n">
        <v>3000</v>
      </c>
      <c r="E899" s="3">
        <f>D899*2/60</f>
        <v/>
      </c>
      <c r="F899" s="2" t="inlineStr">
        <is>
          <t>0011</t>
        </is>
      </c>
      <c r="G899" s="2" t="n">
        <v>6</v>
      </c>
      <c r="H899" s="2">
        <f>INDEX(Parametros!$B$2:$B$9,MATCH(G899,Parametros!$A$2:$A$9,0))</f>
        <v/>
      </c>
      <c r="I899" s="4">
        <f>1/(VALUE(MID(F899,1,1))/Parametros!$E$2+VALUE(MID(F899,2,1))/Parametros!$E$3+VALUE(MID(F899,3,1))/Parametros!$E$4+VALUE(MID(F899,4,1))/Parametros!$E$5)</f>
        <v/>
      </c>
      <c r="J899" s="5">
        <f>IF(G899=0,Parametros!$E$8,Parametros!$E$6+Parametros!$E$6*(Parametros!$E$7/G899+I899)/(Parametros!$E$6+Parametros!$E$7/G899+I899))</f>
        <v/>
      </c>
      <c r="K899" s="2" t="inlineStr">
        <is>
          <t>2026-09-29 13:30</t>
        </is>
      </c>
      <c r="L899" s="6" t="inlineStr">
        <is>
          <t>Válido</t>
        </is>
      </c>
      <c r="M899" s="2">
        <f>IF(L899="Válido","Sim","Não")</f>
        <v/>
      </c>
      <c r="N899" s="2" t="inlineStr"/>
    </row>
    <row r="900">
      <c r="A900" s="2" t="inlineStr">
        <is>
          <t>5Bracos_3000_R0011_210W_2026-09-29_13_30.csv</t>
        </is>
      </c>
      <c r="B900" s="2" t="inlineStr">
        <is>
          <t>210W_3000RPM_R0011</t>
        </is>
      </c>
      <c r="C900" s="2" t="n">
        <v>210</v>
      </c>
      <c r="D900" s="2" t="n">
        <v>3000</v>
      </c>
      <c r="E900" s="3">
        <f>D900*2/60</f>
        <v/>
      </c>
      <c r="F900" s="2" t="inlineStr">
        <is>
          <t>0011</t>
        </is>
      </c>
      <c r="G900" s="2" t="n">
        <v>5</v>
      </c>
      <c r="H900" s="2">
        <f>INDEX(Parametros!$B$2:$B$9,MATCH(G900,Parametros!$A$2:$A$9,0))</f>
        <v/>
      </c>
      <c r="I900" s="4">
        <f>1/(VALUE(MID(F900,1,1))/Parametros!$E$2+VALUE(MID(F900,2,1))/Parametros!$E$3+VALUE(MID(F900,3,1))/Parametros!$E$4+VALUE(MID(F900,4,1))/Parametros!$E$5)</f>
        <v/>
      </c>
      <c r="J900" s="5">
        <f>IF(G900=0,Parametros!$E$8,Parametros!$E$6+Parametros!$E$6*(Parametros!$E$7/G900+I900)/(Parametros!$E$6+Parametros!$E$7/G900+I900))</f>
        <v/>
      </c>
      <c r="K900" s="2" t="inlineStr">
        <is>
          <t>2026-09-29 13:30</t>
        </is>
      </c>
      <c r="L900" s="6" t="inlineStr">
        <is>
          <t>Válido</t>
        </is>
      </c>
      <c r="M900" s="2">
        <f>IF(L900="Válido","Sim","Não")</f>
        <v/>
      </c>
      <c r="N900" s="2" t="inlineStr"/>
    </row>
    <row r="901">
      <c r="A901" s="2" t="inlineStr">
        <is>
          <t>4Bracos_3000_R0011_210W_2026-09-29_13_30.csv</t>
        </is>
      </c>
      <c r="B901" s="2" t="inlineStr">
        <is>
          <t>210W_3000RPM_R0011</t>
        </is>
      </c>
      <c r="C901" s="2" t="n">
        <v>210</v>
      </c>
      <c r="D901" s="2" t="n">
        <v>3000</v>
      </c>
      <c r="E901" s="3">
        <f>D901*2/60</f>
        <v/>
      </c>
      <c r="F901" s="2" t="inlineStr">
        <is>
          <t>0011</t>
        </is>
      </c>
      <c r="G901" s="2" t="n">
        <v>4</v>
      </c>
      <c r="H901" s="2">
        <f>INDEX(Parametros!$B$2:$B$9,MATCH(G901,Parametros!$A$2:$A$9,0))</f>
        <v/>
      </c>
      <c r="I901" s="4">
        <f>1/(VALUE(MID(F901,1,1))/Parametros!$E$2+VALUE(MID(F901,2,1))/Parametros!$E$3+VALUE(MID(F901,3,1))/Parametros!$E$4+VALUE(MID(F901,4,1))/Parametros!$E$5)</f>
        <v/>
      </c>
      <c r="J901" s="5">
        <f>IF(G901=0,Parametros!$E$8,Parametros!$E$6+Parametros!$E$6*(Parametros!$E$7/G901+I901)/(Parametros!$E$6+Parametros!$E$7/G901+I901))</f>
        <v/>
      </c>
      <c r="K901" s="2" t="inlineStr">
        <is>
          <t>2026-09-29 13:30</t>
        </is>
      </c>
      <c r="L901" s="6" t="inlineStr">
        <is>
          <t>Válido</t>
        </is>
      </c>
      <c r="M901" s="2">
        <f>IF(L901="Válido","Sim","Não")</f>
        <v/>
      </c>
      <c r="N901" s="2" t="inlineStr"/>
    </row>
    <row r="902">
      <c r="A902" s="2" t="inlineStr">
        <is>
          <t>3Bracos_3000_R0011_210W_2026-09-29_13_30.csv</t>
        </is>
      </c>
      <c r="B902" s="2" t="inlineStr">
        <is>
          <t>210W_3000RPM_R0011</t>
        </is>
      </c>
      <c r="C902" s="2" t="n">
        <v>210</v>
      </c>
      <c r="D902" s="2" t="n">
        <v>3000</v>
      </c>
      <c r="E902" s="3">
        <f>D902*2/60</f>
        <v/>
      </c>
      <c r="F902" s="2" t="inlineStr">
        <is>
          <t>0011</t>
        </is>
      </c>
      <c r="G902" s="2" t="n">
        <v>3</v>
      </c>
      <c r="H902" s="2">
        <f>INDEX(Parametros!$B$2:$B$9,MATCH(G902,Parametros!$A$2:$A$9,0))</f>
        <v/>
      </c>
      <c r="I902" s="4">
        <f>1/(VALUE(MID(F902,1,1))/Parametros!$E$2+VALUE(MID(F902,2,1))/Parametros!$E$3+VALUE(MID(F902,3,1))/Parametros!$E$4+VALUE(MID(F902,4,1))/Parametros!$E$5)</f>
        <v/>
      </c>
      <c r="J902" s="5">
        <f>IF(G902=0,Parametros!$E$8,Parametros!$E$6+Parametros!$E$6*(Parametros!$E$7/G902+I902)/(Parametros!$E$6+Parametros!$E$7/G902+I902))</f>
        <v/>
      </c>
      <c r="K902" s="2" t="inlineStr">
        <is>
          <t>2026-09-29 13:30</t>
        </is>
      </c>
      <c r="L902" s="6" t="inlineStr">
        <is>
          <t>Válido</t>
        </is>
      </c>
      <c r="M902" s="2">
        <f>IF(L902="Válido","Sim","Não")</f>
        <v/>
      </c>
      <c r="N902" s="2" t="inlineStr"/>
    </row>
    <row r="903">
      <c r="A903" s="2" t="inlineStr">
        <is>
          <t>2Bracos_3000_R0011_210W_2026-09-29_13_30.csv</t>
        </is>
      </c>
      <c r="B903" s="2" t="inlineStr">
        <is>
          <t>210W_3000RPM_R0011</t>
        </is>
      </c>
      <c r="C903" s="2" t="n">
        <v>210</v>
      </c>
      <c r="D903" s="2" t="n">
        <v>3000</v>
      </c>
      <c r="E903" s="3">
        <f>D903*2/60</f>
        <v/>
      </c>
      <c r="F903" s="2" t="inlineStr">
        <is>
          <t>0011</t>
        </is>
      </c>
      <c r="G903" s="2" t="n">
        <v>2</v>
      </c>
      <c r="H903" s="2">
        <f>INDEX(Parametros!$B$2:$B$9,MATCH(G903,Parametros!$A$2:$A$9,0))</f>
        <v/>
      </c>
      <c r="I903" s="4">
        <f>1/(VALUE(MID(F903,1,1))/Parametros!$E$2+VALUE(MID(F903,2,1))/Parametros!$E$3+VALUE(MID(F903,3,1))/Parametros!$E$4+VALUE(MID(F903,4,1))/Parametros!$E$5)</f>
        <v/>
      </c>
      <c r="J903" s="5">
        <f>IF(G903=0,Parametros!$E$8,Parametros!$E$6+Parametros!$E$6*(Parametros!$E$7/G903+I903)/(Parametros!$E$6+Parametros!$E$7/G903+I903))</f>
        <v/>
      </c>
      <c r="K903" s="2" t="inlineStr">
        <is>
          <t>2026-09-29 13:30</t>
        </is>
      </c>
      <c r="L903" s="6" t="inlineStr">
        <is>
          <t>Válido</t>
        </is>
      </c>
      <c r="M903" s="2">
        <f>IF(L903="Válido","Sim","Não")</f>
        <v/>
      </c>
      <c r="N903" s="2" t="inlineStr"/>
    </row>
    <row r="904">
      <c r="A904" s="2" t="inlineStr">
        <is>
          <t>1Bracos_3000_R0011_210W_2026-09-29_13_30.csv</t>
        </is>
      </c>
      <c r="B904" s="2" t="inlineStr">
        <is>
          <t>210W_3000RPM_R0011</t>
        </is>
      </c>
      <c r="C904" s="2" t="n">
        <v>210</v>
      </c>
      <c r="D904" s="2" t="n">
        <v>3000</v>
      </c>
      <c r="E904" s="3">
        <f>D904*2/60</f>
        <v/>
      </c>
      <c r="F904" s="2" t="inlineStr">
        <is>
          <t>0011</t>
        </is>
      </c>
      <c r="G904" s="2" t="n">
        <v>1</v>
      </c>
      <c r="H904" s="2">
        <f>INDEX(Parametros!$B$2:$B$9,MATCH(G904,Parametros!$A$2:$A$9,0))</f>
        <v/>
      </c>
      <c r="I904" s="4">
        <f>1/(VALUE(MID(F904,1,1))/Parametros!$E$2+VALUE(MID(F904,2,1))/Parametros!$E$3+VALUE(MID(F904,3,1))/Parametros!$E$4+VALUE(MID(F904,4,1))/Parametros!$E$5)</f>
        <v/>
      </c>
      <c r="J904" s="5">
        <f>IF(G904=0,Parametros!$E$8,Parametros!$E$6+Parametros!$E$6*(Parametros!$E$7/G904+I904)/(Parametros!$E$6+Parametros!$E$7/G904+I904))</f>
        <v/>
      </c>
      <c r="K904" s="2" t="inlineStr">
        <is>
          <t>2026-09-29 13:30</t>
        </is>
      </c>
      <c r="L904" s="6" t="inlineStr">
        <is>
          <t>Válido</t>
        </is>
      </c>
      <c r="M904" s="2">
        <f>IF(L904="Válido","Sim","Não")</f>
        <v/>
      </c>
      <c r="N904" s="2" t="inlineStr"/>
    </row>
    <row r="905">
      <c r="A905" s="2" t="inlineStr">
        <is>
          <t>0Bracos_3000_R0011_210W_2026-09-29_13_30.csv</t>
        </is>
      </c>
      <c r="B905" s="2" t="inlineStr">
        <is>
          <t>210W_3000RPM_R0011</t>
        </is>
      </c>
      <c r="C905" s="2" t="n">
        <v>210</v>
      </c>
      <c r="D905" s="2" t="n">
        <v>3000</v>
      </c>
      <c r="E905" s="3">
        <f>D905*2/60</f>
        <v/>
      </c>
      <c r="F905" s="2" t="inlineStr">
        <is>
          <t>0011</t>
        </is>
      </c>
      <c r="G905" s="2" t="n">
        <v>0</v>
      </c>
      <c r="H905" s="2">
        <f>INDEX(Parametros!$B$2:$B$9,MATCH(G905,Parametros!$A$2:$A$9,0))</f>
        <v/>
      </c>
      <c r="I905" s="4">
        <f>1/(VALUE(MID(F905,1,1))/Parametros!$E$2+VALUE(MID(F905,2,1))/Parametros!$E$3+VALUE(MID(F905,3,1))/Parametros!$E$4+VALUE(MID(F905,4,1))/Parametros!$E$5)</f>
        <v/>
      </c>
      <c r="J905" s="5">
        <f>IF(G905=0,Parametros!$E$8,Parametros!$E$6+Parametros!$E$6*(Parametros!$E$7/G905+I905)/(Parametros!$E$6+Parametros!$E$7/G905+I905))</f>
        <v/>
      </c>
      <c r="K905" s="2" t="inlineStr">
        <is>
          <t>2026-09-29 13:30</t>
        </is>
      </c>
      <c r="L905" s="6" t="inlineStr">
        <is>
          <t>Válido</t>
        </is>
      </c>
      <c r="M905" s="2">
        <f>IF(L905="Válido","Sim","Não")</f>
        <v/>
      </c>
      <c r="N905" s="2" t="inlineStr"/>
    </row>
    <row r="906">
      <c r="A906" s="2" t="inlineStr">
        <is>
          <t>7Bracos_3000_R0100_210W_2026-10-09_12_20.csv</t>
        </is>
      </c>
      <c r="B906" s="2" t="inlineStr">
        <is>
          <t>210W_3000RPM_R0100</t>
        </is>
      </c>
      <c r="C906" s="2" t="n">
        <v>210</v>
      </c>
      <c r="D906" s="2" t="n">
        <v>3000</v>
      </c>
      <c r="E906" s="3">
        <f>D906*2/60</f>
        <v/>
      </c>
      <c r="F906" s="2" t="inlineStr">
        <is>
          <t>0100</t>
        </is>
      </c>
      <c r="G906" s="2" t="n">
        <v>7</v>
      </c>
      <c r="H906" s="2">
        <f>INDEX(Parametros!$B$2:$B$9,MATCH(G906,Parametros!$A$2:$A$9,0))</f>
        <v/>
      </c>
      <c r="I906" s="4">
        <f>1/(VALUE(MID(F906,1,1))/Parametros!$E$2+VALUE(MID(F906,2,1))/Parametros!$E$3+VALUE(MID(F906,3,1))/Parametros!$E$4+VALUE(MID(F906,4,1))/Parametros!$E$5)</f>
        <v/>
      </c>
      <c r="J906" s="5">
        <f>IF(G906=0,Parametros!$E$8,Parametros!$E$6+Parametros!$E$6*(Parametros!$E$7/G906+I906)/(Parametros!$E$6+Parametros!$E$7/G906+I906))</f>
        <v/>
      </c>
      <c r="K906" s="2" t="inlineStr">
        <is>
          <t>2026-10-09 12:20</t>
        </is>
      </c>
      <c r="L906" s="6" t="inlineStr">
        <is>
          <t>Válido</t>
        </is>
      </c>
      <c r="M906" s="2">
        <f>IF(L906="Válido","Sim","Não")</f>
        <v/>
      </c>
      <c r="N906" s="2" t="inlineStr"/>
    </row>
    <row r="907">
      <c r="A907" s="2" t="inlineStr">
        <is>
          <t>6Bracos_3000_R0100_210W_2026-10-09_12_20.csv</t>
        </is>
      </c>
      <c r="B907" s="2" t="inlineStr">
        <is>
          <t>210W_3000RPM_R0100</t>
        </is>
      </c>
      <c r="C907" s="2" t="n">
        <v>210</v>
      </c>
      <c r="D907" s="2" t="n">
        <v>3000</v>
      </c>
      <c r="E907" s="3">
        <f>D907*2/60</f>
        <v/>
      </c>
      <c r="F907" s="2" t="inlineStr">
        <is>
          <t>0100</t>
        </is>
      </c>
      <c r="G907" s="2" t="n">
        <v>6</v>
      </c>
      <c r="H907" s="2">
        <f>INDEX(Parametros!$B$2:$B$9,MATCH(G907,Parametros!$A$2:$A$9,0))</f>
        <v/>
      </c>
      <c r="I907" s="4">
        <f>1/(VALUE(MID(F907,1,1))/Parametros!$E$2+VALUE(MID(F907,2,1))/Parametros!$E$3+VALUE(MID(F907,3,1))/Parametros!$E$4+VALUE(MID(F907,4,1))/Parametros!$E$5)</f>
        <v/>
      </c>
      <c r="J907" s="5">
        <f>IF(G907=0,Parametros!$E$8,Parametros!$E$6+Parametros!$E$6*(Parametros!$E$7/G907+I907)/(Parametros!$E$6+Parametros!$E$7/G907+I907))</f>
        <v/>
      </c>
      <c r="K907" s="2" t="inlineStr">
        <is>
          <t>2026-10-09 12:20</t>
        </is>
      </c>
      <c r="L907" s="6" t="inlineStr">
        <is>
          <t>Válido</t>
        </is>
      </c>
      <c r="M907" s="2">
        <f>IF(L907="Válido","Sim","Não")</f>
        <v/>
      </c>
      <c r="N907" s="2" t="inlineStr"/>
    </row>
    <row r="908">
      <c r="A908" s="2" t="inlineStr">
        <is>
          <t>5Bracos_3000_R0100_210W_2026-10-09_12_20.csv</t>
        </is>
      </c>
      <c r="B908" s="2" t="inlineStr">
        <is>
          <t>210W_3000RPM_R0100</t>
        </is>
      </c>
      <c r="C908" s="2" t="n">
        <v>210</v>
      </c>
      <c r="D908" s="2" t="n">
        <v>3000</v>
      </c>
      <c r="E908" s="3">
        <f>D908*2/60</f>
        <v/>
      </c>
      <c r="F908" s="2" t="inlineStr">
        <is>
          <t>0100</t>
        </is>
      </c>
      <c r="G908" s="2" t="n">
        <v>5</v>
      </c>
      <c r="H908" s="2">
        <f>INDEX(Parametros!$B$2:$B$9,MATCH(G908,Parametros!$A$2:$A$9,0))</f>
        <v/>
      </c>
      <c r="I908" s="4">
        <f>1/(VALUE(MID(F908,1,1))/Parametros!$E$2+VALUE(MID(F908,2,1))/Parametros!$E$3+VALUE(MID(F908,3,1))/Parametros!$E$4+VALUE(MID(F908,4,1))/Parametros!$E$5)</f>
        <v/>
      </c>
      <c r="J908" s="5">
        <f>IF(G908=0,Parametros!$E$8,Parametros!$E$6+Parametros!$E$6*(Parametros!$E$7/G908+I908)/(Parametros!$E$6+Parametros!$E$7/G908+I908))</f>
        <v/>
      </c>
      <c r="K908" s="2" t="inlineStr">
        <is>
          <t>2026-10-09 12:20</t>
        </is>
      </c>
      <c r="L908" s="6" t="inlineStr">
        <is>
          <t>Válido</t>
        </is>
      </c>
      <c r="M908" s="2">
        <f>IF(L908="Válido","Sim","Não")</f>
        <v/>
      </c>
      <c r="N908" s="2" t="inlineStr"/>
    </row>
    <row r="909">
      <c r="A909" s="2" t="inlineStr">
        <is>
          <t>4Bracos_3000_R0100_210W_2026-10-09_12_20.csv</t>
        </is>
      </c>
      <c r="B909" s="2" t="inlineStr">
        <is>
          <t>210W_3000RPM_R0100</t>
        </is>
      </c>
      <c r="C909" s="2" t="n">
        <v>210</v>
      </c>
      <c r="D909" s="2" t="n">
        <v>3000</v>
      </c>
      <c r="E909" s="3">
        <f>D909*2/60</f>
        <v/>
      </c>
      <c r="F909" s="2" t="inlineStr">
        <is>
          <t>0100</t>
        </is>
      </c>
      <c r="G909" s="2" t="n">
        <v>4</v>
      </c>
      <c r="H909" s="2">
        <f>INDEX(Parametros!$B$2:$B$9,MATCH(G909,Parametros!$A$2:$A$9,0))</f>
        <v/>
      </c>
      <c r="I909" s="4">
        <f>1/(VALUE(MID(F909,1,1))/Parametros!$E$2+VALUE(MID(F909,2,1))/Parametros!$E$3+VALUE(MID(F909,3,1))/Parametros!$E$4+VALUE(MID(F909,4,1))/Parametros!$E$5)</f>
        <v/>
      </c>
      <c r="J909" s="5">
        <f>IF(G909=0,Parametros!$E$8,Parametros!$E$6+Parametros!$E$6*(Parametros!$E$7/G909+I909)/(Parametros!$E$6+Parametros!$E$7/G909+I909))</f>
        <v/>
      </c>
      <c r="K909" s="2" t="inlineStr">
        <is>
          <t>2026-10-09 12:20</t>
        </is>
      </c>
      <c r="L909" s="6" t="inlineStr">
        <is>
          <t>Válido</t>
        </is>
      </c>
      <c r="M909" s="2">
        <f>IF(L909="Válido","Sim","Não")</f>
        <v/>
      </c>
      <c r="N909" s="2" t="inlineStr"/>
    </row>
    <row r="910">
      <c r="A910" s="2" t="inlineStr">
        <is>
          <t>3Bracos_3000_R0100_210W_2026-10-09_12_20.csv</t>
        </is>
      </c>
      <c r="B910" s="2" t="inlineStr">
        <is>
          <t>210W_3000RPM_R0100</t>
        </is>
      </c>
      <c r="C910" s="2" t="n">
        <v>210</v>
      </c>
      <c r="D910" s="2" t="n">
        <v>3000</v>
      </c>
      <c r="E910" s="3">
        <f>D910*2/60</f>
        <v/>
      </c>
      <c r="F910" s="2" t="inlineStr">
        <is>
          <t>0100</t>
        </is>
      </c>
      <c r="G910" s="2" t="n">
        <v>3</v>
      </c>
      <c r="H910" s="2">
        <f>INDEX(Parametros!$B$2:$B$9,MATCH(G910,Parametros!$A$2:$A$9,0))</f>
        <v/>
      </c>
      <c r="I910" s="4">
        <f>1/(VALUE(MID(F910,1,1))/Parametros!$E$2+VALUE(MID(F910,2,1))/Parametros!$E$3+VALUE(MID(F910,3,1))/Parametros!$E$4+VALUE(MID(F910,4,1))/Parametros!$E$5)</f>
        <v/>
      </c>
      <c r="J910" s="5">
        <f>IF(G910=0,Parametros!$E$8,Parametros!$E$6+Parametros!$E$6*(Parametros!$E$7/G910+I910)/(Parametros!$E$6+Parametros!$E$7/G910+I910))</f>
        <v/>
      </c>
      <c r="K910" s="2" t="inlineStr">
        <is>
          <t>2026-10-09 12:20</t>
        </is>
      </c>
      <c r="L910" s="6" t="inlineStr">
        <is>
          <t>Válido</t>
        </is>
      </c>
      <c r="M910" s="2">
        <f>IF(L910="Válido","Sim","Não")</f>
        <v/>
      </c>
      <c r="N910" s="2" t="inlineStr"/>
    </row>
    <row r="911">
      <c r="A911" s="2" t="inlineStr">
        <is>
          <t>2Bracos_3000_R0100_210W_2026-10-09_12_20.csv</t>
        </is>
      </c>
      <c r="B911" s="2" t="inlineStr">
        <is>
          <t>210W_3000RPM_R0100</t>
        </is>
      </c>
      <c r="C911" s="2" t="n">
        <v>210</v>
      </c>
      <c r="D911" s="2" t="n">
        <v>3000</v>
      </c>
      <c r="E911" s="3">
        <f>D911*2/60</f>
        <v/>
      </c>
      <c r="F911" s="2" t="inlineStr">
        <is>
          <t>0100</t>
        </is>
      </c>
      <c r="G911" s="2" t="n">
        <v>2</v>
      </c>
      <c r="H911" s="2">
        <f>INDEX(Parametros!$B$2:$B$9,MATCH(G911,Parametros!$A$2:$A$9,0))</f>
        <v/>
      </c>
      <c r="I911" s="4">
        <f>1/(VALUE(MID(F911,1,1))/Parametros!$E$2+VALUE(MID(F911,2,1))/Parametros!$E$3+VALUE(MID(F911,3,1))/Parametros!$E$4+VALUE(MID(F911,4,1))/Parametros!$E$5)</f>
        <v/>
      </c>
      <c r="J911" s="5">
        <f>IF(G911=0,Parametros!$E$8,Parametros!$E$6+Parametros!$E$6*(Parametros!$E$7/G911+I911)/(Parametros!$E$6+Parametros!$E$7/G911+I911))</f>
        <v/>
      </c>
      <c r="K911" s="2" t="inlineStr">
        <is>
          <t>2026-10-09 12:20</t>
        </is>
      </c>
      <c r="L911" s="6" t="inlineStr">
        <is>
          <t>Válido</t>
        </is>
      </c>
      <c r="M911" s="2">
        <f>IF(L911="Válido","Sim","Não")</f>
        <v/>
      </c>
      <c r="N911" s="2" t="inlineStr"/>
    </row>
    <row r="912">
      <c r="A912" s="2" t="inlineStr">
        <is>
          <t>1Bracos_3000_R0100_210W_2026-10-09_12_20.csv</t>
        </is>
      </c>
      <c r="B912" s="2" t="inlineStr">
        <is>
          <t>210W_3000RPM_R0100</t>
        </is>
      </c>
      <c r="C912" s="2" t="n">
        <v>210</v>
      </c>
      <c r="D912" s="2" t="n">
        <v>3000</v>
      </c>
      <c r="E912" s="3">
        <f>D912*2/60</f>
        <v/>
      </c>
      <c r="F912" s="2" t="inlineStr">
        <is>
          <t>0100</t>
        </is>
      </c>
      <c r="G912" s="2" t="n">
        <v>1</v>
      </c>
      <c r="H912" s="2">
        <f>INDEX(Parametros!$B$2:$B$9,MATCH(G912,Parametros!$A$2:$A$9,0))</f>
        <v/>
      </c>
      <c r="I912" s="4">
        <f>1/(VALUE(MID(F912,1,1))/Parametros!$E$2+VALUE(MID(F912,2,1))/Parametros!$E$3+VALUE(MID(F912,3,1))/Parametros!$E$4+VALUE(MID(F912,4,1))/Parametros!$E$5)</f>
        <v/>
      </c>
      <c r="J912" s="5">
        <f>IF(G912=0,Parametros!$E$8,Parametros!$E$6+Parametros!$E$6*(Parametros!$E$7/G912+I912)/(Parametros!$E$6+Parametros!$E$7/G912+I912))</f>
        <v/>
      </c>
      <c r="K912" s="2" t="inlineStr">
        <is>
          <t>2026-10-09 12:20</t>
        </is>
      </c>
      <c r="L912" s="6" t="inlineStr">
        <is>
          <t>Válido</t>
        </is>
      </c>
      <c r="M912" s="2">
        <f>IF(L912="Válido","Sim","Não")</f>
        <v/>
      </c>
      <c r="N912" s="2" t="inlineStr"/>
    </row>
    <row r="913">
      <c r="A913" s="2" t="inlineStr">
        <is>
          <t>0Bracos_3000_R0100_210W_2026-10-09_12_20.csv</t>
        </is>
      </c>
      <c r="B913" s="2" t="inlineStr">
        <is>
          <t>210W_3000RPM_R0100</t>
        </is>
      </c>
      <c r="C913" s="2" t="n">
        <v>210</v>
      </c>
      <c r="D913" s="2" t="n">
        <v>3000</v>
      </c>
      <c r="E913" s="3">
        <f>D913*2/60</f>
        <v/>
      </c>
      <c r="F913" s="2" t="inlineStr">
        <is>
          <t>0100</t>
        </is>
      </c>
      <c r="G913" s="2" t="n">
        <v>0</v>
      </c>
      <c r="H913" s="2">
        <f>INDEX(Parametros!$B$2:$B$9,MATCH(G913,Parametros!$A$2:$A$9,0))</f>
        <v/>
      </c>
      <c r="I913" s="4">
        <f>1/(VALUE(MID(F913,1,1))/Parametros!$E$2+VALUE(MID(F913,2,1))/Parametros!$E$3+VALUE(MID(F913,3,1))/Parametros!$E$4+VALUE(MID(F913,4,1))/Parametros!$E$5)</f>
        <v/>
      </c>
      <c r="J913" s="5">
        <f>IF(G913=0,Parametros!$E$8,Parametros!$E$6+Parametros!$E$6*(Parametros!$E$7/G913+I913)/(Parametros!$E$6+Parametros!$E$7/G913+I913))</f>
        <v/>
      </c>
      <c r="K913" s="2" t="inlineStr">
        <is>
          <t>2026-10-09 12:20</t>
        </is>
      </c>
      <c r="L913" s="6" t="inlineStr">
        <is>
          <t>Válido</t>
        </is>
      </c>
      <c r="M913" s="2">
        <f>IF(L913="Válido","Sim","Não")</f>
        <v/>
      </c>
      <c r="N913" s="2" t="inlineStr"/>
    </row>
    <row r="914">
      <c r="A914" s="2" t="inlineStr">
        <is>
          <t>7Bracos_3000_R0100_210W_2026-09-29_13_30.csv</t>
        </is>
      </c>
      <c r="B914" s="2" t="inlineStr">
        <is>
          <t>210W_3000RPM_R0100</t>
        </is>
      </c>
      <c r="C914" s="2" t="n">
        <v>210</v>
      </c>
      <c r="D914" s="2" t="n">
        <v>3000</v>
      </c>
      <c r="E914" s="3">
        <f>D914*2/60</f>
        <v/>
      </c>
      <c r="F914" s="2" t="inlineStr">
        <is>
          <t>0100</t>
        </is>
      </c>
      <c r="G914" s="2" t="n">
        <v>7</v>
      </c>
      <c r="H914" s="2">
        <f>INDEX(Parametros!$B$2:$B$9,MATCH(G914,Parametros!$A$2:$A$9,0))</f>
        <v/>
      </c>
      <c r="I914" s="4">
        <f>1/(VALUE(MID(F914,1,1))/Parametros!$E$2+VALUE(MID(F914,2,1))/Parametros!$E$3+VALUE(MID(F914,3,1))/Parametros!$E$4+VALUE(MID(F914,4,1))/Parametros!$E$5)</f>
        <v/>
      </c>
      <c r="J914" s="5">
        <f>IF(G914=0,Parametros!$E$8,Parametros!$E$6+Parametros!$E$6*(Parametros!$E$7/G914+I914)/(Parametros!$E$6+Parametros!$E$7/G914+I914))</f>
        <v/>
      </c>
      <c r="K914" s="2" t="inlineStr">
        <is>
          <t>2026-09-29 13:30</t>
        </is>
      </c>
      <c r="L914" s="8" t="inlineStr">
        <is>
          <t>Substituído (refeito)</t>
        </is>
      </c>
      <c r="M914" s="2">
        <f>IF(L914="Válido","Sim","Não")</f>
        <v/>
      </c>
      <c r="N914" s="2" t="inlineStr">
        <is>
          <t>Existe ensaio mais novo para a mesma condição</t>
        </is>
      </c>
    </row>
    <row r="915">
      <c r="A915" s="2" t="inlineStr">
        <is>
          <t>6Bracos_3000_R0100_210W_2026-09-29_13_30.csv</t>
        </is>
      </c>
      <c r="B915" s="2" t="inlineStr">
        <is>
          <t>210W_3000RPM_R0100</t>
        </is>
      </c>
      <c r="C915" s="2" t="n">
        <v>210</v>
      </c>
      <c r="D915" s="2" t="n">
        <v>3000</v>
      </c>
      <c r="E915" s="3">
        <f>D915*2/60</f>
        <v/>
      </c>
      <c r="F915" s="2" t="inlineStr">
        <is>
          <t>0100</t>
        </is>
      </c>
      <c r="G915" s="2" t="n">
        <v>6</v>
      </c>
      <c r="H915" s="2">
        <f>INDEX(Parametros!$B$2:$B$9,MATCH(G915,Parametros!$A$2:$A$9,0))</f>
        <v/>
      </c>
      <c r="I915" s="4">
        <f>1/(VALUE(MID(F915,1,1))/Parametros!$E$2+VALUE(MID(F915,2,1))/Parametros!$E$3+VALUE(MID(F915,3,1))/Parametros!$E$4+VALUE(MID(F915,4,1))/Parametros!$E$5)</f>
        <v/>
      </c>
      <c r="J915" s="5">
        <f>IF(G915=0,Parametros!$E$8,Parametros!$E$6+Parametros!$E$6*(Parametros!$E$7/G915+I915)/(Parametros!$E$6+Parametros!$E$7/G915+I915))</f>
        <v/>
      </c>
      <c r="K915" s="2" t="inlineStr">
        <is>
          <t>2026-09-29 13:30</t>
        </is>
      </c>
      <c r="L915" s="8" t="inlineStr">
        <is>
          <t>Substituído (refeito)</t>
        </is>
      </c>
      <c r="M915" s="2">
        <f>IF(L915="Válido","Sim","Não")</f>
        <v/>
      </c>
      <c r="N915" s="2" t="inlineStr">
        <is>
          <t>Existe ensaio mais novo para a mesma condição</t>
        </is>
      </c>
    </row>
    <row r="916">
      <c r="A916" s="2" t="inlineStr">
        <is>
          <t>5Bracos_3000_R0100_210W_2026-09-29_13_30.csv</t>
        </is>
      </c>
      <c r="B916" s="2" t="inlineStr">
        <is>
          <t>210W_3000RPM_R0100</t>
        </is>
      </c>
      <c r="C916" s="2" t="n">
        <v>210</v>
      </c>
      <c r="D916" s="2" t="n">
        <v>3000</v>
      </c>
      <c r="E916" s="3">
        <f>D916*2/60</f>
        <v/>
      </c>
      <c r="F916" s="2" t="inlineStr">
        <is>
          <t>0100</t>
        </is>
      </c>
      <c r="G916" s="2" t="n">
        <v>5</v>
      </c>
      <c r="H916" s="2">
        <f>INDEX(Parametros!$B$2:$B$9,MATCH(G916,Parametros!$A$2:$A$9,0))</f>
        <v/>
      </c>
      <c r="I916" s="4">
        <f>1/(VALUE(MID(F916,1,1))/Parametros!$E$2+VALUE(MID(F916,2,1))/Parametros!$E$3+VALUE(MID(F916,3,1))/Parametros!$E$4+VALUE(MID(F916,4,1))/Parametros!$E$5)</f>
        <v/>
      </c>
      <c r="J916" s="5">
        <f>IF(G916=0,Parametros!$E$8,Parametros!$E$6+Parametros!$E$6*(Parametros!$E$7/G916+I916)/(Parametros!$E$6+Parametros!$E$7/G916+I916))</f>
        <v/>
      </c>
      <c r="K916" s="2" t="inlineStr">
        <is>
          <t>2026-09-29 13:30</t>
        </is>
      </c>
      <c r="L916" s="8" t="inlineStr">
        <is>
          <t>Substituído (refeito)</t>
        </is>
      </c>
      <c r="M916" s="2">
        <f>IF(L916="Válido","Sim","Não")</f>
        <v/>
      </c>
      <c r="N916" s="2" t="inlineStr">
        <is>
          <t>Existe ensaio mais novo para a mesma condição</t>
        </is>
      </c>
    </row>
    <row r="917">
      <c r="A917" s="2" t="inlineStr">
        <is>
          <t>4Bracos_3000_R0100_210W_2026-09-29_13_30.csv</t>
        </is>
      </c>
      <c r="B917" s="2" t="inlineStr">
        <is>
          <t>210W_3000RPM_R0100</t>
        </is>
      </c>
      <c r="C917" s="2" t="n">
        <v>210</v>
      </c>
      <c r="D917" s="2" t="n">
        <v>3000</v>
      </c>
      <c r="E917" s="3">
        <f>D917*2/60</f>
        <v/>
      </c>
      <c r="F917" s="2" t="inlineStr">
        <is>
          <t>0100</t>
        </is>
      </c>
      <c r="G917" s="2" t="n">
        <v>4</v>
      </c>
      <c r="H917" s="2">
        <f>INDEX(Parametros!$B$2:$B$9,MATCH(G917,Parametros!$A$2:$A$9,0))</f>
        <v/>
      </c>
      <c r="I917" s="4">
        <f>1/(VALUE(MID(F917,1,1))/Parametros!$E$2+VALUE(MID(F917,2,1))/Parametros!$E$3+VALUE(MID(F917,3,1))/Parametros!$E$4+VALUE(MID(F917,4,1))/Parametros!$E$5)</f>
        <v/>
      </c>
      <c r="J917" s="5">
        <f>IF(G917=0,Parametros!$E$8,Parametros!$E$6+Parametros!$E$6*(Parametros!$E$7/G917+I917)/(Parametros!$E$6+Parametros!$E$7/G917+I917))</f>
        <v/>
      </c>
      <c r="K917" s="2" t="inlineStr">
        <is>
          <t>2026-09-29 13:30</t>
        </is>
      </c>
      <c r="L917" s="8" t="inlineStr">
        <is>
          <t>Substituído (refeito)</t>
        </is>
      </c>
      <c r="M917" s="2">
        <f>IF(L917="Válido","Sim","Não")</f>
        <v/>
      </c>
      <c r="N917" s="2" t="inlineStr">
        <is>
          <t>Existe ensaio mais novo para a mesma condição</t>
        </is>
      </c>
    </row>
    <row r="918">
      <c r="A918" s="2" t="inlineStr">
        <is>
          <t>3Bracos_3000_R0100_210W_2026-09-29_13_30.csv</t>
        </is>
      </c>
      <c r="B918" s="2" t="inlineStr">
        <is>
          <t>210W_3000RPM_R0100</t>
        </is>
      </c>
      <c r="C918" s="2" t="n">
        <v>210</v>
      </c>
      <c r="D918" s="2" t="n">
        <v>3000</v>
      </c>
      <c r="E918" s="3">
        <f>D918*2/60</f>
        <v/>
      </c>
      <c r="F918" s="2" t="inlineStr">
        <is>
          <t>0100</t>
        </is>
      </c>
      <c r="G918" s="2" t="n">
        <v>3</v>
      </c>
      <c r="H918" s="2">
        <f>INDEX(Parametros!$B$2:$B$9,MATCH(G918,Parametros!$A$2:$A$9,0))</f>
        <v/>
      </c>
      <c r="I918" s="4">
        <f>1/(VALUE(MID(F918,1,1))/Parametros!$E$2+VALUE(MID(F918,2,1))/Parametros!$E$3+VALUE(MID(F918,3,1))/Parametros!$E$4+VALUE(MID(F918,4,1))/Parametros!$E$5)</f>
        <v/>
      </c>
      <c r="J918" s="5">
        <f>IF(G918=0,Parametros!$E$8,Parametros!$E$6+Parametros!$E$6*(Parametros!$E$7/G918+I918)/(Parametros!$E$6+Parametros!$E$7/G918+I918))</f>
        <v/>
      </c>
      <c r="K918" s="2" t="inlineStr">
        <is>
          <t>2026-09-29 13:30</t>
        </is>
      </c>
      <c r="L918" s="8" t="inlineStr">
        <is>
          <t>Substituído (refeito)</t>
        </is>
      </c>
      <c r="M918" s="2">
        <f>IF(L918="Válido","Sim","Não")</f>
        <v/>
      </c>
      <c r="N918" s="2" t="inlineStr">
        <is>
          <t>Existe ensaio mais novo para a mesma condição</t>
        </is>
      </c>
    </row>
    <row r="919">
      <c r="A919" s="2" t="inlineStr">
        <is>
          <t>2Bracos_3000_R0100_210W_2026-09-29_13_30.csv</t>
        </is>
      </c>
      <c r="B919" s="2" t="inlineStr">
        <is>
          <t>210W_3000RPM_R0100</t>
        </is>
      </c>
      <c r="C919" s="2" t="n">
        <v>210</v>
      </c>
      <c r="D919" s="2" t="n">
        <v>3000</v>
      </c>
      <c r="E919" s="3">
        <f>D919*2/60</f>
        <v/>
      </c>
      <c r="F919" s="2" t="inlineStr">
        <is>
          <t>0100</t>
        </is>
      </c>
      <c r="G919" s="2" t="n">
        <v>2</v>
      </c>
      <c r="H919" s="2">
        <f>INDEX(Parametros!$B$2:$B$9,MATCH(G919,Parametros!$A$2:$A$9,0))</f>
        <v/>
      </c>
      <c r="I919" s="4">
        <f>1/(VALUE(MID(F919,1,1))/Parametros!$E$2+VALUE(MID(F919,2,1))/Parametros!$E$3+VALUE(MID(F919,3,1))/Parametros!$E$4+VALUE(MID(F919,4,1))/Parametros!$E$5)</f>
        <v/>
      </c>
      <c r="J919" s="5">
        <f>IF(G919=0,Parametros!$E$8,Parametros!$E$6+Parametros!$E$6*(Parametros!$E$7/G919+I919)/(Parametros!$E$6+Parametros!$E$7/G919+I919))</f>
        <v/>
      </c>
      <c r="K919" s="2" t="inlineStr">
        <is>
          <t>2026-09-29 13:30</t>
        </is>
      </c>
      <c r="L919" s="8" t="inlineStr">
        <is>
          <t>Substituído (refeito)</t>
        </is>
      </c>
      <c r="M919" s="2">
        <f>IF(L919="Válido","Sim","Não")</f>
        <v/>
      </c>
      <c r="N919" s="2" t="inlineStr">
        <is>
          <t>Existe ensaio mais novo para a mesma condição</t>
        </is>
      </c>
    </row>
    <row r="920">
      <c r="A920" s="2" t="inlineStr">
        <is>
          <t>1Bracos_3000_R0100_210W_2026-09-29_13_30.csv</t>
        </is>
      </c>
      <c r="B920" s="2" t="inlineStr">
        <is>
          <t>210W_3000RPM_R0100</t>
        </is>
      </c>
      <c r="C920" s="2" t="n">
        <v>210</v>
      </c>
      <c r="D920" s="2" t="n">
        <v>3000</v>
      </c>
      <c r="E920" s="3">
        <f>D920*2/60</f>
        <v/>
      </c>
      <c r="F920" s="2" t="inlineStr">
        <is>
          <t>0100</t>
        </is>
      </c>
      <c r="G920" s="2" t="n">
        <v>1</v>
      </c>
      <c r="H920" s="2">
        <f>INDEX(Parametros!$B$2:$B$9,MATCH(G920,Parametros!$A$2:$A$9,0))</f>
        <v/>
      </c>
      <c r="I920" s="4">
        <f>1/(VALUE(MID(F920,1,1))/Parametros!$E$2+VALUE(MID(F920,2,1))/Parametros!$E$3+VALUE(MID(F920,3,1))/Parametros!$E$4+VALUE(MID(F920,4,1))/Parametros!$E$5)</f>
        <v/>
      </c>
      <c r="J920" s="5">
        <f>IF(G920=0,Parametros!$E$8,Parametros!$E$6+Parametros!$E$6*(Parametros!$E$7/G920+I920)/(Parametros!$E$6+Parametros!$E$7/G920+I920))</f>
        <v/>
      </c>
      <c r="K920" s="2" t="inlineStr">
        <is>
          <t>2026-09-29 13:30</t>
        </is>
      </c>
      <c r="L920" s="8" t="inlineStr">
        <is>
          <t>Substituído (refeito)</t>
        </is>
      </c>
      <c r="M920" s="2">
        <f>IF(L920="Válido","Sim","Não")</f>
        <v/>
      </c>
      <c r="N920" s="2" t="inlineStr">
        <is>
          <t>Existe ensaio mais novo para a mesma condição</t>
        </is>
      </c>
    </row>
    <row r="921">
      <c r="A921" s="2" t="inlineStr">
        <is>
          <t>0Bracos_3000_R0100_210W_2026-09-29_13_30.csv</t>
        </is>
      </c>
      <c r="B921" s="2" t="inlineStr">
        <is>
          <t>210W_3000RPM_R0100</t>
        </is>
      </c>
      <c r="C921" s="2" t="n">
        <v>210</v>
      </c>
      <c r="D921" s="2" t="n">
        <v>3000</v>
      </c>
      <c r="E921" s="3">
        <f>D921*2/60</f>
        <v/>
      </c>
      <c r="F921" s="2" t="inlineStr">
        <is>
          <t>0100</t>
        </is>
      </c>
      <c r="G921" s="2" t="n">
        <v>0</v>
      </c>
      <c r="H921" s="2">
        <f>INDEX(Parametros!$B$2:$B$9,MATCH(G921,Parametros!$A$2:$A$9,0))</f>
        <v/>
      </c>
      <c r="I921" s="4">
        <f>1/(VALUE(MID(F921,1,1))/Parametros!$E$2+VALUE(MID(F921,2,1))/Parametros!$E$3+VALUE(MID(F921,3,1))/Parametros!$E$4+VALUE(MID(F921,4,1))/Parametros!$E$5)</f>
        <v/>
      </c>
      <c r="J921" s="5">
        <f>IF(G921=0,Parametros!$E$8,Parametros!$E$6+Parametros!$E$6*(Parametros!$E$7/G921+I921)/(Parametros!$E$6+Parametros!$E$7/G921+I921))</f>
        <v/>
      </c>
      <c r="K921" s="2" t="inlineStr">
        <is>
          <t>2026-09-29 13:30</t>
        </is>
      </c>
      <c r="L921" s="8" t="inlineStr">
        <is>
          <t>Substituído (refeito)</t>
        </is>
      </c>
      <c r="M921" s="2">
        <f>IF(L921="Válido","Sim","Não")</f>
        <v/>
      </c>
      <c r="N921" s="2" t="inlineStr">
        <is>
          <t>Existe ensaio mais novo para a mesma condição</t>
        </is>
      </c>
    </row>
    <row r="922">
      <c r="A922" s="2" t="inlineStr">
        <is>
          <t>7Bracos_3000_R0101_210W_2026-09-29_13_30.csv</t>
        </is>
      </c>
      <c r="B922" s="2" t="inlineStr">
        <is>
          <t>210W_3000RPM_R0101</t>
        </is>
      </c>
      <c r="C922" s="2" t="n">
        <v>210</v>
      </c>
      <c r="D922" s="2" t="n">
        <v>3000</v>
      </c>
      <c r="E922" s="3">
        <f>D922*2/60</f>
        <v/>
      </c>
      <c r="F922" s="2" t="inlineStr">
        <is>
          <t>0101</t>
        </is>
      </c>
      <c r="G922" s="2" t="n">
        <v>7</v>
      </c>
      <c r="H922" s="2">
        <f>INDEX(Parametros!$B$2:$B$9,MATCH(G922,Parametros!$A$2:$A$9,0))</f>
        <v/>
      </c>
      <c r="I922" s="4">
        <f>1/(VALUE(MID(F922,1,1))/Parametros!$E$2+VALUE(MID(F922,2,1))/Parametros!$E$3+VALUE(MID(F922,3,1))/Parametros!$E$4+VALUE(MID(F922,4,1))/Parametros!$E$5)</f>
        <v/>
      </c>
      <c r="J922" s="5">
        <f>IF(G922=0,Parametros!$E$8,Parametros!$E$6+Parametros!$E$6*(Parametros!$E$7/G922+I922)/(Parametros!$E$6+Parametros!$E$7/G922+I922))</f>
        <v/>
      </c>
      <c r="K922" s="2" t="inlineStr">
        <is>
          <t>2026-09-29 13:30</t>
        </is>
      </c>
      <c r="L922" s="6" t="inlineStr">
        <is>
          <t>Válido</t>
        </is>
      </c>
      <c r="M922" s="2">
        <f>IF(L922="Válido","Sim","Não")</f>
        <v/>
      </c>
      <c r="N922" s="2" t="inlineStr"/>
    </row>
    <row r="923">
      <c r="A923" s="2" t="inlineStr">
        <is>
          <t>6Bracos_3000_R0101_210W_2026-09-29_13_30.csv</t>
        </is>
      </c>
      <c r="B923" s="2" t="inlineStr">
        <is>
          <t>210W_3000RPM_R0101</t>
        </is>
      </c>
      <c r="C923" s="2" t="n">
        <v>210</v>
      </c>
      <c r="D923" s="2" t="n">
        <v>3000</v>
      </c>
      <c r="E923" s="3">
        <f>D923*2/60</f>
        <v/>
      </c>
      <c r="F923" s="2" t="inlineStr">
        <is>
          <t>0101</t>
        </is>
      </c>
      <c r="G923" s="2" t="n">
        <v>6</v>
      </c>
      <c r="H923" s="2">
        <f>INDEX(Parametros!$B$2:$B$9,MATCH(G923,Parametros!$A$2:$A$9,0))</f>
        <v/>
      </c>
      <c r="I923" s="4">
        <f>1/(VALUE(MID(F923,1,1))/Parametros!$E$2+VALUE(MID(F923,2,1))/Parametros!$E$3+VALUE(MID(F923,3,1))/Parametros!$E$4+VALUE(MID(F923,4,1))/Parametros!$E$5)</f>
        <v/>
      </c>
      <c r="J923" s="5">
        <f>IF(G923=0,Parametros!$E$8,Parametros!$E$6+Parametros!$E$6*(Parametros!$E$7/G923+I923)/(Parametros!$E$6+Parametros!$E$7/G923+I923))</f>
        <v/>
      </c>
      <c r="K923" s="2" t="inlineStr">
        <is>
          <t>2026-09-29 13:30</t>
        </is>
      </c>
      <c r="L923" s="6" t="inlineStr">
        <is>
          <t>Válido</t>
        </is>
      </c>
      <c r="M923" s="2">
        <f>IF(L923="Válido","Sim","Não")</f>
        <v/>
      </c>
      <c r="N923" s="2" t="inlineStr"/>
    </row>
    <row r="924">
      <c r="A924" s="2" t="inlineStr">
        <is>
          <t>5Bracos_3000_R0101_210W_2026-09-29_13_30.csv</t>
        </is>
      </c>
      <c r="B924" s="2" t="inlineStr">
        <is>
          <t>210W_3000RPM_R0101</t>
        </is>
      </c>
      <c r="C924" s="2" t="n">
        <v>210</v>
      </c>
      <c r="D924" s="2" t="n">
        <v>3000</v>
      </c>
      <c r="E924" s="3">
        <f>D924*2/60</f>
        <v/>
      </c>
      <c r="F924" s="2" t="inlineStr">
        <is>
          <t>0101</t>
        </is>
      </c>
      <c r="G924" s="2" t="n">
        <v>5</v>
      </c>
      <c r="H924" s="2">
        <f>INDEX(Parametros!$B$2:$B$9,MATCH(G924,Parametros!$A$2:$A$9,0))</f>
        <v/>
      </c>
      <c r="I924" s="4">
        <f>1/(VALUE(MID(F924,1,1))/Parametros!$E$2+VALUE(MID(F924,2,1))/Parametros!$E$3+VALUE(MID(F924,3,1))/Parametros!$E$4+VALUE(MID(F924,4,1))/Parametros!$E$5)</f>
        <v/>
      </c>
      <c r="J924" s="5">
        <f>IF(G924=0,Parametros!$E$8,Parametros!$E$6+Parametros!$E$6*(Parametros!$E$7/G924+I924)/(Parametros!$E$6+Parametros!$E$7/G924+I924))</f>
        <v/>
      </c>
      <c r="K924" s="2" t="inlineStr">
        <is>
          <t>2026-09-29 13:30</t>
        </is>
      </c>
      <c r="L924" s="6" t="inlineStr">
        <is>
          <t>Válido</t>
        </is>
      </c>
      <c r="M924" s="2">
        <f>IF(L924="Válido","Sim","Não")</f>
        <v/>
      </c>
      <c r="N924" s="2" t="inlineStr"/>
    </row>
    <row r="925">
      <c r="A925" s="2" t="inlineStr">
        <is>
          <t>4Bracos_3000_R0101_210W_2026-09-29_13_30.csv</t>
        </is>
      </c>
      <c r="B925" s="2" t="inlineStr">
        <is>
          <t>210W_3000RPM_R0101</t>
        </is>
      </c>
      <c r="C925" s="2" t="n">
        <v>210</v>
      </c>
      <c r="D925" s="2" t="n">
        <v>3000</v>
      </c>
      <c r="E925" s="3">
        <f>D925*2/60</f>
        <v/>
      </c>
      <c r="F925" s="2" t="inlineStr">
        <is>
          <t>0101</t>
        </is>
      </c>
      <c r="G925" s="2" t="n">
        <v>4</v>
      </c>
      <c r="H925" s="2">
        <f>INDEX(Parametros!$B$2:$B$9,MATCH(G925,Parametros!$A$2:$A$9,0))</f>
        <v/>
      </c>
      <c r="I925" s="4">
        <f>1/(VALUE(MID(F925,1,1))/Parametros!$E$2+VALUE(MID(F925,2,1))/Parametros!$E$3+VALUE(MID(F925,3,1))/Parametros!$E$4+VALUE(MID(F925,4,1))/Parametros!$E$5)</f>
        <v/>
      </c>
      <c r="J925" s="5">
        <f>IF(G925=0,Parametros!$E$8,Parametros!$E$6+Parametros!$E$6*(Parametros!$E$7/G925+I925)/(Parametros!$E$6+Parametros!$E$7/G925+I925))</f>
        <v/>
      </c>
      <c r="K925" s="2" t="inlineStr">
        <is>
          <t>2026-09-29 13:30</t>
        </is>
      </c>
      <c r="L925" s="6" t="inlineStr">
        <is>
          <t>Válido</t>
        </is>
      </c>
      <c r="M925" s="2">
        <f>IF(L925="Válido","Sim","Não")</f>
        <v/>
      </c>
      <c r="N925" s="2" t="inlineStr"/>
    </row>
    <row r="926">
      <c r="A926" s="2" t="inlineStr">
        <is>
          <t>3Bracos_3000_R0101_210W_2026-09-29_13_30.csv</t>
        </is>
      </c>
      <c r="B926" s="2" t="inlineStr">
        <is>
          <t>210W_3000RPM_R0101</t>
        </is>
      </c>
      <c r="C926" s="2" t="n">
        <v>210</v>
      </c>
      <c r="D926" s="2" t="n">
        <v>3000</v>
      </c>
      <c r="E926" s="3">
        <f>D926*2/60</f>
        <v/>
      </c>
      <c r="F926" s="2" t="inlineStr">
        <is>
          <t>0101</t>
        </is>
      </c>
      <c r="G926" s="2" t="n">
        <v>3</v>
      </c>
      <c r="H926" s="2">
        <f>INDEX(Parametros!$B$2:$B$9,MATCH(G926,Parametros!$A$2:$A$9,0))</f>
        <v/>
      </c>
      <c r="I926" s="4">
        <f>1/(VALUE(MID(F926,1,1))/Parametros!$E$2+VALUE(MID(F926,2,1))/Parametros!$E$3+VALUE(MID(F926,3,1))/Parametros!$E$4+VALUE(MID(F926,4,1))/Parametros!$E$5)</f>
        <v/>
      </c>
      <c r="J926" s="5">
        <f>IF(G926=0,Parametros!$E$8,Parametros!$E$6+Parametros!$E$6*(Parametros!$E$7/G926+I926)/(Parametros!$E$6+Parametros!$E$7/G926+I926))</f>
        <v/>
      </c>
      <c r="K926" s="2" t="inlineStr">
        <is>
          <t>2026-09-29 13:30</t>
        </is>
      </c>
      <c r="L926" s="6" t="inlineStr">
        <is>
          <t>Válido</t>
        </is>
      </c>
      <c r="M926" s="2">
        <f>IF(L926="Válido","Sim","Não")</f>
        <v/>
      </c>
      <c r="N926" s="2" t="inlineStr"/>
    </row>
    <row r="927">
      <c r="A927" s="2" t="inlineStr">
        <is>
          <t>2Bracos_3000_R0101_210W_2026-09-29_13_30.csv</t>
        </is>
      </c>
      <c r="B927" s="2" t="inlineStr">
        <is>
          <t>210W_3000RPM_R0101</t>
        </is>
      </c>
      <c r="C927" s="2" t="n">
        <v>210</v>
      </c>
      <c r="D927" s="2" t="n">
        <v>3000</v>
      </c>
      <c r="E927" s="3">
        <f>D927*2/60</f>
        <v/>
      </c>
      <c r="F927" s="2" t="inlineStr">
        <is>
          <t>0101</t>
        </is>
      </c>
      <c r="G927" s="2" t="n">
        <v>2</v>
      </c>
      <c r="H927" s="2">
        <f>INDEX(Parametros!$B$2:$B$9,MATCH(G927,Parametros!$A$2:$A$9,0))</f>
        <v/>
      </c>
      <c r="I927" s="4">
        <f>1/(VALUE(MID(F927,1,1))/Parametros!$E$2+VALUE(MID(F927,2,1))/Parametros!$E$3+VALUE(MID(F927,3,1))/Parametros!$E$4+VALUE(MID(F927,4,1))/Parametros!$E$5)</f>
        <v/>
      </c>
      <c r="J927" s="5">
        <f>IF(G927=0,Parametros!$E$8,Parametros!$E$6+Parametros!$E$6*(Parametros!$E$7/G927+I927)/(Parametros!$E$6+Parametros!$E$7/G927+I927))</f>
        <v/>
      </c>
      <c r="K927" s="2" t="inlineStr">
        <is>
          <t>2026-09-29 13:30</t>
        </is>
      </c>
      <c r="L927" s="6" t="inlineStr">
        <is>
          <t>Válido</t>
        </is>
      </c>
      <c r="M927" s="2">
        <f>IF(L927="Válido","Sim","Não")</f>
        <v/>
      </c>
      <c r="N927" s="2" t="inlineStr"/>
    </row>
    <row r="928">
      <c r="A928" s="2" t="inlineStr">
        <is>
          <t>1Bracos_3000_R0101_210W_2026-09-29_13_30.csv</t>
        </is>
      </c>
      <c r="B928" s="2" t="inlineStr">
        <is>
          <t>210W_3000RPM_R0101</t>
        </is>
      </c>
      <c r="C928" s="2" t="n">
        <v>210</v>
      </c>
      <c r="D928" s="2" t="n">
        <v>3000</v>
      </c>
      <c r="E928" s="3">
        <f>D928*2/60</f>
        <v/>
      </c>
      <c r="F928" s="2" t="inlineStr">
        <is>
          <t>0101</t>
        </is>
      </c>
      <c r="G928" s="2" t="n">
        <v>1</v>
      </c>
      <c r="H928" s="2">
        <f>INDEX(Parametros!$B$2:$B$9,MATCH(G928,Parametros!$A$2:$A$9,0))</f>
        <v/>
      </c>
      <c r="I928" s="4">
        <f>1/(VALUE(MID(F928,1,1))/Parametros!$E$2+VALUE(MID(F928,2,1))/Parametros!$E$3+VALUE(MID(F928,3,1))/Parametros!$E$4+VALUE(MID(F928,4,1))/Parametros!$E$5)</f>
        <v/>
      </c>
      <c r="J928" s="5">
        <f>IF(G928=0,Parametros!$E$8,Parametros!$E$6+Parametros!$E$6*(Parametros!$E$7/G928+I928)/(Parametros!$E$6+Parametros!$E$7/G928+I928))</f>
        <v/>
      </c>
      <c r="K928" s="2" t="inlineStr">
        <is>
          <t>2026-09-29 13:30</t>
        </is>
      </c>
      <c r="L928" s="6" t="inlineStr">
        <is>
          <t>Válido</t>
        </is>
      </c>
      <c r="M928" s="2">
        <f>IF(L928="Válido","Sim","Não")</f>
        <v/>
      </c>
      <c r="N928" s="2" t="inlineStr"/>
    </row>
    <row r="929">
      <c r="A929" s="2" t="inlineStr">
        <is>
          <t>0Bracos_3000_R0101_210W_2026-09-29_13_30.csv</t>
        </is>
      </c>
      <c r="B929" s="2" t="inlineStr">
        <is>
          <t>210W_3000RPM_R0101</t>
        </is>
      </c>
      <c r="C929" s="2" t="n">
        <v>210</v>
      </c>
      <c r="D929" s="2" t="n">
        <v>3000</v>
      </c>
      <c r="E929" s="3">
        <f>D929*2/60</f>
        <v/>
      </c>
      <c r="F929" s="2" t="inlineStr">
        <is>
          <t>0101</t>
        </is>
      </c>
      <c r="G929" s="2" t="n">
        <v>0</v>
      </c>
      <c r="H929" s="2">
        <f>INDEX(Parametros!$B$2:$B$9,MATCH(G929,Parametros!$A$2:$A$9,0))</f>
        <v/>
      </c>
      <c r="I929" s="4">
        <f>1/(VALUE(MID(F929,1,1))/Parametros!$E$2+VALUE(MID(F929,2,1))/Parametros!$E$3+VALUE(MID(F929,3,1))/Parametros!$E$4+VALUE(MID(F929,4,1))/Parametros!$E$5)</f>
        <v/>
      </c>
      <c r="J929" s="5">
        <f>IF(G929=0,Parametros!$E$8,Parametros!$E$6+Parametros!$E$6*(Parametros!$E$7/G929+I929)/(Parametros!$E$6+Parametros!$E$7/G929+I929))</f>
        <v/>
      </c>
      <c r="K929" s="2" t="inlineStr">
        <is>
          <t>2026-09-29 13:30</t>
        </is>
      </c>
      <c r="L929" s="6" t="inlineStr">
        <is>
          <t>Válido</t>
        </is>
      </c>
      <c r="M929" s="2">
        <f>IF(L929="Válido","Sim","Não")</f>
        <v/>
      </c>
      <c r="N929" s="2" t="inlineStr"/>
    </row>
    <row r="930">
      <c r="A930" s="2" t="inlineStr">
        <is>
          <t>7Bracos_3000_R0110_210W_2026-10-09_12_20.csv</t>
        </is>
      </c>
      <c r="B930" s="2" t="inlineStr">
        <is>
          <t>210W_3000RPM_R0110</t>
        </is>
      </c>
      <c r="C930" s="2" t="n">
        <v>210</v>
      </c>
      <c r="D930" s="2" t="n">
        <v>3000</v>
      </c>
      <c r="E930" s="3">
        <f>D930*2/60</f>
        <v/>
      </c>
      <c r="F930" s="2" t="inlineStr">
        <is>
          <t>0110</t>
        </is>
      </c>
      <c r="G930" s="2" t="n">
        <v>7</v>
      </c>
      <c r="H930" s="2">
        <f>INDEX(Parametros!$B$2:$B$9,MATCH(G930,Parametros!$A$2:$A$9,0))</f>
        <v/>
      </c>
      <c r="I930" s="4">
        <f>1/(VALUE(MID(F930,1,1))/Parametros!$E$2+VALUE(MID(F930,2,1))/Parametros!$E$3+VALUE(MID(F930,3,1))/Parametros!$E$4+VALUE(MID(F930,4,1))/Parametros!$E$5)</f>
        <v/>
      </c>
      <c r="J930" s="5">
        <f>IF(G930=0,Parametros!$E$8,Parametros!$E$6+Parametros!$E$6*(Parametros!$E$7/G930+I930)/(Parametros!$E$6+Parametros!$E$7/G930+I930))</f>
        <v/>
      </c>
      <c r="K930" s="2" t="inlineStr">
        <is>
          <t>2026-10-09 12:20</t>
        </is>
      </c>
      <c r="L930" s="6" t="inlineStr">
        <is>
          <t>Válido</t>
        </is>
      </c>
      <c r="M930" s="2">
        <f>IF(L930="Válido","Sim","Não")</f>
        <v/>
      </c>
      <c r="N930" s="2" t="inlineStr"/>
    </row>
    <row r="931">
      <c r="A931" s="2" t="inlineStr">
        <is>
          <t>6Bracos_3000_R0110_210W_2026-10-09_12_20.csv</t>
        </is>
      </c>
      <c r="B931" s="2" t="inlineStr">
        <is>
          <t>210W_3000RPM_R0110</t>
        </is>
      </c>
      <c r="C931" s="2" t="n">
        <v>210</v>
      </c>
      <c r="D931" s="2" t="n">
        <v>3000</v>
      </c>
      <c r="E931" s="3">
        <f>D931*2/60</f>
        <v/>
      </c>
      <c r="F931" s="2" t="inlineStr">
        <is>
          <t>0110</t>
        </is>
      </c>
      <c r="G931" s="2" t="n">
        <v>6</v>
      </c>
      <c r="H931" s="2">
        <f>INDEX(Parametros!$B$2:$B$9,MATCH(G931,Parametros!$A$2:$A$9,0))</f>
        <v/>
      </c>
      <c r="I931" s="4">
        <f>1/(VALUE(MID(F931,1,1))/Parametros!$E$2+VALUE(MID(F931,2,1))/Parametros!$E$3+VALUE(MID(F931,3,1))/Parametros!$E$4+VALUE(MID(F931,4,1))/Parametros!$E$5)</f>
        <v/>
      </c>
      <c r="J931" s="5">
        <f>IF(G931=0,Parametros!$E$8,Parametros!$E$6+Parametros!$E$6*(Parametros!$E$7/G931+I931)/(Parametros!$E$6+Parametros!$E$7/G931+I931))</f>
        <v/>
      </c>
      <c r="K931" s="2" t="inlineStr">
        <is>
          <t>2026-10-09 12:20</t>
        </is>
      </c>
      <c r="L931" s="6" t="inlineStr">
        <is>
          <t>Válido</t>
        </is>
      </c>
      <c r="M931" s="2">
        <f>IF(L931="Válido","Sim","Não")</f>
        <v/>
      </c>
      <c r="N931" s="2" t="inlineStr"/>
    </row>
    <row r="932">
      <c r="A932" s="2" t="inlineStr">
        <is>
          <t>5Bracos_3000_R0110_210W_2026-10-09_12_20.csv</t>
        </is>
      </c>
      <c r="B932" s="2" t="inlineStr">
        <is>
          <t>210W_3000RPM_R0110</t>
        </is>
      </c>
      <c r="C932" s="2" t="n">
        <v>210</v>
      </c>
      <c r="D932" s="2" t="n">
        <v>3000</v>
      </c>
      <c r="E932" s="3">
        <f>D932*2/60</f>
        <v/>
      </c>
      <c r="F932" s="2" t="inlineStr">
        <is>
          <t>0110</t>
        </is>
      </c>
      <c r="G932" s="2" t="n">
        <v>5</v>
      </c>
      <c r="H932" s="2">
        <f>INDEX(Parametros!$B$2:$B$9,MATCH(G932,Parametros!$A$2:$A$9,0))</f>
        <v/>
      </c>
      <c r="I932" s="4">
        <f>1/(VALUE(MID(F932,1,1))/Parametros!$E$2+VALUE(MID(F932,2,1))/Parametros!$E$3+VALUE(MID(F932,3,1))/Parametros!$E$4+VALUE(MID(F932,4,1))/Parametros!$E$5)</f>
        <v/>
      </c>
      <c r="J932" s="5">
        <f>IF(G932=0,Parametros!$E$8,Parametros!$E$6+Parametros!$E$6*(Parametros!$E$7/G932+I932)/(Parametros!$E$6+Parametros!$E$7/G932+I932))</f>
        <v/>
      </c>
      <c r="K932" s="2" t="inlineStr">
        <is>
          <t>2026-10-09 12:20</t>
        </is>
      </c>
      <c r="L932" s="6" t="inlineStr">
        <is>
          <t>Válido</t>
        </is>
      </c>
      <c r="M932" s="2">
        <f>IF(L932="Válido","Sim","Não")</f>
        <v/>
      </c>
      <c r="N932" s="2" t="inlineStr"/>
    </row>
    <row r="933">
      <c r="A933" s="2" t="inlineStr">
        <is>
          <t>4Bracos_3000_R0110_210W_2026-10-09_12_20.csv</t>
        </is>
      </c>
      <c r="B933" s="2" t="inlineStr">
        <is>
          <t>210W_3000RPM_R0110</t>
        </is>
      </c>
      <c r="C933" s="2" t="n">
        <v>210</v>
      </c>
      <c r="D933" s="2" t="n">
        <v>3000</v>
      </c>
      <c r="E933" s="3">
        <f>D933*2/60</f>
        <v/>
      </c>
      <c r="F933" s="2" t="inlineStr">
        <is>
          <t>0110</t>
        </is>
      </c>
      <c r="G933" s="2" t="n">
        <v>4</v>
      </c>
      <c r="H933" s="2">
        <f>INDEX(Parametros!$B$2:$B$9,MATCH(G933,Parametros!$A$2:$A$9,0))</f>
        <v/>
      </c>
      <c r="I933" s="4">
        <f>1/(VALUE(MID(F933,1,1))/Parametros!$E$2+VALUE(MID(F933,2,1))/Parametros!$E$3+VALUE(MID(F933,3,1))/Parametros!$E$4+VALUE(MID(F933,4,1))/Parametros!$E$5)</f>
        <v/>
      </c>
      <c r="J933" s="5">
        <f>IF(G933=0,Parametros!$E$8,Parametros!$E$6+Parametros!$E$6*(Parametros!$E$7/G933+I933)/(Parametros!$E$6+Parametros!$E$7/G933+I933))</f>
        <v/>
      </c>
      <c r="K933" s="2" t="inlineStr">
        <is>
          <t>2026-10-09 12:20</t>
        </is>
      </c>
      <c r="L933" s="6" t="inlineStr">
        <is>
          <t>Válido</t>
        </is>
      </c>
      <c r="M933" s="2">
        <f>IF(L933="Válido","Sim","Não")</f>
        <v/>
      </c>
      <c r="N933" s="2" t="inlineStr"/>
    </row>
    <row r="934">
      <c r="A934" s="2" t="inlineStr">
        <is>
          <t>3Bracos_3000_R0110_210W_2026-10-09_12_20.csv</t>
        </is>
      </c>
      <c r="B934" s="2" t="inlineStr">
        <is>
          <t>210W_3000RPM_R0110</t>
        </is>
      </c>
      <c r="C934" s="2" t="n">
        <v>210</v>
      </c>
      <c r="D934" s="2" t="n">
        <v>3000</v>
      </c>
      <c r="E934" s="3">
        <f>D934*2/60</f>
        <v/>
      </c>
      <c r="F934" s="2" t="inlineStr">
        <is>
          <t>0110</t>
        </is>
      </c>
      <c r="G934" s="2" t="n">
        <v>3</v>
      </c>
      <c r="H934" s="2">
        <f>INDEX(Parametros!$B$2:$B$9,MATCH(G934,Parametros!$A$2:$A$9,0))</f>
        <v/>
      </c>
      <c r="I934" s="4">
        <f>1/(VALUE(MID(F934,1,1))/Parametros!$E$2+VALUE(MID(F934,2,1))/Parametros!$E$3+VALUE(MID(F934,3,1))/Parametros!$E$4+VALUE(MID(F934,4,1))/Parametros!$E$5)</f>
        <v/>
      </c>
      <c r="J934" s="5">
        <f>IF(G934=0,Parametros!$E$8,Parametros!$E$6+Parametros!$E$6*(Parametros!$E$7/G934+I934)/(Parametros!$E$6+Parametros!$E$7/G934+I934))</f>
        <v/>
      </c>
      <c r="K934" s="2" t="inlineStr">
        <is>
          <t>2026-10-09 12:20</t>
        </is>
      </c>
      <c r="L934" s="6" t="inlineStr">
        <is>
          <t>Válido</t>
        </is>
      </c>
      <c r="M934" s="2">
        <f>IF(L934="Válido","Sim","Não")</f>
        <v/>
      </c>
      <c r="N934" s="2" t="inlineStr"/>
    </row>
    <row r="935">
      <c r="A935" s="2" t="inlineStr">
        <is>
          <t>2Bracos_3000_R0110_210W_2026-10-09_12_20.csv</t>
        </is>
      </c>
      <c r="B935" s="2" t="inlineStr">
        <is>
          <t>210W_3000RPM_R0110</t>
        </is>
      </c>
      <c r="C935" s="2" t="n">
        <v>210</v>
      </c>
      <c r="D935" s="2" t="n">
        <v>3000</v>
      </c>
      <c r="E935" s="3">
        <f>D935*2/60</f>
        <v/>
      </c>
      <c r="F935" s="2" t="inlineStr">
        <is>
          <t>0110</t>
        </is>
      </c>
      <c r="G935" s="2" t="n">
        <v>2</v>
      </c>
      <c r="H935" s="2">
        <f>INDEX(Parametros!$B$2:$B$9,MATCH(G935,Parametros!$A$2:$A$9,0))</f>
        <v/>
      </c>
      <c r="I935" s="4">
        <f>1/(VALUE(MID(F935,1,1))/Parametros!$E$2+VALUE(MID(F935,2,1))/Parametros!$E$3+VALUE(MID(F935,3,1))/Parametros!$E$4+VALUE(MID(F935,4,1))/Parametros!$E$5)</f>
        <v/>
      </c>
      <c r="J935" s="5">
        <f>IF(G935=0,Parametros!$E$8,Parametros!$E$6+Parametros!$E$6*(Parametros!$E$7/G935+I935)/(Parametros!$E$6+Parametros!$E$7/G935+I935))</f>
        <v/>
      </c>
      <c r="K935" s="2" t="inlineStr">
        <is>
          <t>2026-10-09 12:20</t>
        </is>
      </c>
      <c r="L935" s="6" t="inlineStr">
        <is>
          <t>Válido</t>
        </is>
      </c>
      <c r="M935" s="2">
        <f>IF(L935="Válido","Sim","Não")</f>
        <v/>
      </c>
      <c r="N935" s="2" t="inlineStr"/>
    </row>
    <row r="936">
      <c r="A936" s="2" t="inlineStr">
        <is>
          <t>1Bracos_3000_R0110_210W_2026-10-09_12_20.csv</t>
        </is>
      </c>
      <c r="B936" s="2" t="inlineStr">
        <is>
          <t>210W_3000RPM_R0110</t>
        </is>
      </c>
      <c r="C936" s="2" t="n">
        <v>210</v>
      </c>
      <c r="D936" s="2" t="n">
        <v>3000</v>
      </c>
      <c r="E936" s="3">
        <f>D936*2/60</f>
        <v/>
      </c>
      <c r="F936" s="2" t="inlineStr">
        <is>
          <t>0110</t>
        </is>
      </c>
      <c r="G936" s="2" t="n">
        <v>1</v>
      </c>
      <c r="H936" s="2">
        <f>INDEX(Parametros!$B$2:$B$9,MATCH(G936,Parametros!$A$2:$A$9,0))</f>
        <v/>
      </c>
      <c r="I936" s="4">
        <f>1/(VALUE(MID(F936,1,1))/Parametros!$E$2+VALUE(MID(F936,2,1))/Parametros!$E$3+VALUE(MID(F936,3,1))/Parametros!$E$4+VALUE(MID(F936,4,1))/Parametros!$E$5)</f>
        <v/>
      </c>
      <c r="J936" s="5">
        <f>IF(G936=0,Parametros!$E$8,Parametros!$E$6+Parametros!$E$6*(Parametros!$E$7/G936+I936)/(Parametros!$E$6+Parametros!$E$7/G936+I936))</f>
        <v/>
      </c>
      <c r="K936" s="2" t="inlineStr">
        <is>
          <t>2026-10-09 12:20</t>
        </is>
      </c>
      <c r="L936" s="6" t="inlineStr">
        <is>
          <t>Válido</t>
        </is>
      </c>
      <c r="M936" s="2">
        <f>IF(L936="Válido","Sim","Não")</f>
        <v/>
      </c>
      <c r="N936" s="2" t="inlineStr"/>
    </row>
    <row r="937">
      <c r="A937" s="2" t="inlineStr">
        <is>
          <t>0Bracos_3000_R0110_210W_2026-10-09_12_20.csv</t>
        </is>
      </c>
      <c r="B937" s="2" t="inlineStr">
        <is>
          <t>210W_3000RPM_R0110</t>
        </is>
      </c>
      <c r="C937" s="2" t="n">
        <v>210</v>
      </c>
      <c r="D937" s="2" t="n">
        <v>3000</v>
      </c>
      <c r="E937" s="3">
        <f>D937*2/60</f>
        <v/>
      </c>
      <c r="F937" s="2" t="inlineStr">
        <is>
          <t>0110</t>
        </is>
      </c>
      <c r="G937" s="2" t="n">
        <v>0</v>
      </c>
      <c r="H937" s="2">
        <f>INDEX(Parametros!$B$2:$B$9,MATCH(G937,Parametros!$A$2:$A$9,0))</f>
        <v/>
      </c>
      <c r="I937" s="4">
        <f>1/(VALUE(MID(F937,1,1))/Parametros!$E$2+VALUE(MID(F937,2,1))/Parametros!$E$3+VALUE(MID(F937,3,1))/Parametros!$E$4+VALUE(MID(F937,4,1))/Parametros!$E$5)</f>
        <v/>
      </c>
      <c r="J937" s="5">
        <f>IF(G937=0,Parametros!$E$8,Parametros!$E$6+Parametros!$E$6*(Parametros!$E$7/G937+I937)/(Parametros!$E$6+Parametros!$E$7/G937+I937))</f>
        <v/>
      </c>
      <c r="K937" s="2" t="inlineStr">
        <is>
          <t>2026-10-09 12:20</t>
        </is>
      </c>
      <c r="L937" s="6" t="inlineStr">
        <is>
          <t>Válido</t>
        </is>
      </c>
      <c r="M937" s="2">
        <f>IF(L937="Válido","Sim","Não")</f>
        <v/>
      </c>
      <c r="N937" s="2" t="inlineStr"/>
    </row>
    <row r="938">
      <c r="A938" s="2" t="inlineStr">
        <is>
          <t>7Bracos_3000_R0110_210W_2026-09-29_13_30.csv</t>
        </is>
      </c>
      <c r="B938" s="2" t="inlineStr">
        <is>
          <t>210W_3000RPM_R0110</t>
        </is>
      </c>
      <c r="C938" s="2" t="n">
        <v>210</v>
      </c>
      <c r="D938" s="2" t="n">
        <v>3000</v>
      </c>
      <c r="E938" s="3">
        <f>D938*2/60</f>
        <v/>
      </c>
      <c r="F938" s="2" t="inlineStr">
        <is>
          <t>0110</t>
        </is>
      </c>
      <c r="G938" s="2" t="n">
        <v>7</v>
      </c>
      <c r="H938" s="2">
        <f>INDEX(Parametros!$B$2:$B$9,MATCH(G938,Parametros!$A$2:$A$9,0))</f>
        <v/>
      </c>
      <c r="I938" s="4">
        <f>1/(VALUE(MID(F938,1,1))/Parametros!$E$2+VALUE(MID(F938,2,1))/Parametros!$E$3+VALUE(MID(F938,3,1))/Parametros!$E$4+VALUE(MID(F938,4,1))/Parametros!$E$5)</f>
        <v/>
      </c>
      <c r="J938" s="5">
        <f>IF(G938=0,Parametros!$E$8,Parametros!$E$6+Parametros!$E$6*(Parametros!$E$7/G938+I938)/(Parametros!$E$6+Parametros!$E$7/G938+I938))</f>
        <v/>
      </c>
      <c r="K938" s="2" t="inlineStr">
        <is>
          <t>2026-09-29 13:30</t>
        </is>
      </c>
      <c r="L938" s="8" t="inlineStr">
        <is>
          <t>Substituído (refeito)</t>
        </is>
      </c>
      <c r="M938" s="2">
        <f>IF(L938="Válido","Sim","Não")</f>
        <v/>
      </c>
      <c r="N938" s="2" t="inlineStr">
        <is>
          <t>Existe ensaio mais novo para a mesma condição</t>
        </is>
      </c>
    </row>
    <row r="939">
      <c r="A939" s="2" t="inlineStr">
        <is>
          <t>6Bracos_3000_R0110_210W_2026-09-29_13_30.csv</t>
        </is>
      </c>
      <c r="B939" s="2" t="inlineStr">
        <is>
          <t>210W_3000RPM_R0110</t>
        </is>
      </c>
      <c r="C939" s="2" t="n">
        <v>210</v>
      </c>
      <c r="D939" s="2" t="n">
        <v>3000</v>
      </c>
      <c r="E939" s="3">
        <f>D939*2/60</f>
        <v/>
      </c>
      <c r="F939" s="2" t="inlineStr">
        <is>
          <t>0110</t>
        </is>
      </c>
      <c r="G939" s="2" t="n">
        <v>6</v>
      </c>
      <c r="H939" s="2">
        <f>INDEX(Parametros!$B$2:$B$9,MATCH(G939,Parametros!$A$2:$A$9,0))</f>
        <v/>
      </c>
      <c r="I939" s="4">
        <f>1/(VALUE(MID(F939,1,1))/Parametros!$E$2+VALUE(MID(F939,2,1))/Parametros!$E$3+VALUE(MID(F939,3,1))/Parametros!$E$4+VALUE(MID(F939,4,1))/Parametros!$E$5)</f>
        <v/>
      </c>
      <c r="J939" s="5">
        <f>IF(G939=0,Parametros!$E$8,Parametros!$E$6+Parametros!$E$6*(Parametros!$E$7/G939+I939)/(Parametros!$E$6+Parametros!$E$7/G939+I939))</f>
        <v/>
      </c>
      <c r="K939" s="2" t="inlineStr">
        <is>
          <t>2026-09-29 13:30</t>
        </is>
      </c>
      <c r="L939" s="8" t="inlineStr">
        <is>
          <t>Substituído (refeito)</t>
        </is>
      </c>
      <c r="M939" s="2">
        <f>IF(L939="Válido","Sim","Não")</f>
        <v/>
      </c>
      <c r="N939" s="2" t="inlineStr">
        <is>
          <t>Existe ensaio mais novo para a mesma condição</t>
        </is>
      </c>
    </row>
    <row r="940">
      <c r="A940" s="2" t="inlineStr">
        <is>
          <t>5Bracos_3000_R0110_210W_2026-09-29_13_30.csv</t>
        </is>
      </c>
      <c r="B940" s="2" t="inlineStr">
        <is>
          <t>210W_3000RPM_R0110</t>
        </is>
      </c>
      <c r="C940" s="2" t="n">
        <v>210</v>
      </c>
      <c r="D940" s="2" t="n">
        <v>3000</v>
      </c>
      <c r="E940" s="3">
        <f>D940*2/60</f>
        <v/>
      </c>
      <c r="F940" s="2" t="inlineStr">
        <is>
          <t>0110</t>
        </is>
      </c>
      <c r="G940" s="2" t="n">
        <v>5</v>
      </c>
      <c r="H940" s="2">
        <f>INDEX(Parametros!$B$2:$B$9,MATCH(G940,Parametros!$A$2:$A$9,0))</f>
        <v/>
      </c>
      <c r="I940" s="4">
        <f>1/(VALUE(MID(F940,1,1))/Parametros!$E$2+VALUE(MID(F940,2,1))/Parametros!$E$3+VALUE(MID(F940,3,1))/Parametros!$E$4+VALUE(MID(F940,4,1))/Parametros!$E$5)</f>
        <v/>
      </c>
      <c r="J940" s="5">
        <f>IF(G940=0,Parametros!$E$8,Parametros!$E$6+Parametros!$E$6*(Parametros!$E$7/G940+I940)/(Parametros!$E$6+Parametros!$E$7/G940+I940))</f>
        <v/>
      </c>
      <c r="K940" s="2" t="inlineStr">
        <is>
          <t>2026-09-29 13:30</t>
        </is>
      </c>
      <c r="L940" s="8" t="inlineStr">
        <is>
          <t>Substituído (refeito)</t>
        </is>
      </c>
      <c r="M940" s="2">
        <f>IF(L940="Válido","Sim","Não")</f>
        <v/>
      </c>
      <c r="N940" s="2" t="inlineStr">
        <is>
          <t>Existe ensaio mais novo para a mesma condição</t>
        </is>
      </c>
    </row>
    <row r="941">
      <c r="A941" s="2" t="inlineStr">
        <is>
          <t>4Bracos_3000_R0110_210W_2026-09-29_13_30.csv</t>
        </is>
      </c>
      <c r="B941" s="2" t="inlineStr">
        <is>
          <t>210W_3000RPM_R0110</t>
        </is>
      </c>
      <c r="C941" s="2" t="n">
        <v>210</v>
      </c>
      <c r="D941" s="2" t="n">
        <v>3000</v>
      </c>
      <c r="E941" s="3">
        <f>D941*2/60</f>
        <v/>
      </c>
      <c r="F941" s="2" t="inlineStr">
        <is>
          <t>0110</t>
        </is>
      </c>
      <c r="G941" s="2" t="n">
        <v>4</v>
      </c>
      <c r="H941" s="2">
        <f>INDEX(Parametros!$B$2:$B$9,MATCH(G941,Parametros!$A$2:$A$9,0))</f>
        <v/>
      </c>
      <c r="I941" s="4">
        <f>1/(VALUE(MID(F941,1,1))/Parametros!$E$2+VALUE(MID(F941,2,1))/Parametros!$E$3+VALUE(MID(F941,3,1))/Parametros!$E$4+VALUE(MID(F941,4,1))/Parametros!$E$5)</f>
        <v/>
      </c>
      <c r="J941" s="5">
        <f>IF(G941=0,Parametros!$E$8,Parametros!$E$6+Parametros!$E$6*(Parametros!$E$7/G941+I941)/(Parametros!$E$6+Parametros!$E$7/G941+I941))</f>
        <v/>
      </c>
      <c r="K941" s="2" t="inlineStr">
        <is>
          <t>2026-09-29 13:30</t>
        </is>
      </c>
      <c r="L941" s="8" t="inlineStr">
        <is>
          <t>Substituído (refeito)</t>
        </is>
      </c>
      <c r="M941" s="2">
        <f>IF(L941="Válido","Sim","Não")</f>
        <v/>
      </c>
      <c r="N941" s="2" t="inlineStr">
        <is>
          <t>Existe ensaio mais novo para a mesma condição</t>
        </is>
      </c>
    </row>
    <row r="942">
      <c r="A942" s="2" t="inlineStr">
        <is>
          <t>3Bracos_3000_R0110_210W_2026-09-29_13_30.csv</t>
        </is>
      </c>
      <c r="B942" s="2" t="inlineStr">
        <is>
          <t>210W_3000RPM_R0110</t>
        </is>
      </c>
      <c r="C942" s="2" t="n">
        <v>210</v>
      </c>
      <c r="D942" s="2" t="n">
        <v>3000</v>
      </c>
      <c r="E942" s="3">
        <f>D942*2/60</f>
        <v/>
      </c>
      <c r="F942" s="2" t="inlineStr">
        <is>
          <t>0110</t>
        </is>
      </c>
      <c r="G942" s="2" t="n">
        <v>3</v>
      </c>
      <c r="H942" s="2">
        <f>INDEX(Parametros!$B$2:$B$9,MATCH(G942,Parametros!$A$2:$A$9,0))</f>
        <v/>
      </c>
      <c r="I942" s="4">
        <f>1/(VALUE(MID(F942,1,1))/Parametros!$E$2+VALUE(MID(F942,2,1))/Parametros!$E$3+VALUE(MID(F942,3,1))/Parametros!$E$4+VALUE(MID(F942,4,1))/Parametros!$E$5)</f>
        <v/>
      </c>
      <c r="J942" s="5">
        <f>IF(G942=0,Parametros!$E$8,Parametros!$E$6+Parametros!$E$6*(Parametros!$E$7/G942+I942)/(Parametros!$E$6+Parametros!$E$7/G942+I942))</f>
        <v/>
      </c>
      <c r="K942" s="2" t="inlineStr">
        <is>
          <t>2026-09-29 13:30</t>
        </is>
      </c>
      <c r="L942" s="8" t="inlineStr">
        <is>
          <t>Substituído (refeito)</t>
        </is>
      </c>
      <c r="M942" s="2">
        <f>IF(L942="Válido","Sim","Não")</f>
        <v/>
      </c>
      <c r="N942" s="2" t="inlineStr">
        <is>
          <t>Existe ensaio mais novo para a mesma condição</t>
        </is>
      </c>
    </row>
    <row r="943">
      <c r="A943" s="2" t="inlineStr">
        <is>
          <t>2Bracos_3000_R0110_210W_2026-09-29_13_30.csv</t>
        </is>
      </c>
      <c r="B943" s="2" t="inlineStr">
        <is>
          <t>210W_3000RPM_R0110</t>
        </is>
      </c>
      <c r="C943" s="2" t="n">
        <v>210</v>
      </c>
      <c r="D943" s="2" t="n">
        <v>3000</v>
      </c>
      <c r="E943" s="3">
        <f>D943*2/60</f>
        <v/>
      </c>
      <c r="F943" s="2" t="inlineStr">
        <is>
          <t>0110</t>
        </is>
      </c>
      <c r="G943" s="2" t="n">
        <v>2</v>
      </c>
      <c r="H943" s="2">
        <f>INDEX(Parametros!$B$2:$B$9,MATCH(G943,Parametros!$A$2:$A$9,0))</f>
        <v/>
      </c>
      <c r="I943" s="4">
        <f>1/(VALUE(MID(F943,1,1))/Parametros!$E$2+VALUE(MID(F943,2,1))/Parametros!$E$3+VALUE(MID(F943,3,1))/Parametros!$E$4+VALUE(MID(F943,4,1))/Parametros!$E$5)</f>
        <v/>
      </c>
      <c r="J943" s="5">
        <f>IF(G943=0,Parametros!$E$8,Parametros!$E$6+Parametros!$E$6*(Parametros!$E$7/G943+I943)/(Parametros!$E$6+Parametros!$E$7/G943+I943))</f>
        <v/>
      </c>
      <c r="K943" s="2" t="inlineStr">
        <is>
          <t>2026-09-29 13:30</t>
        </is>
      </c>
      <c r="L943" s="8" t="inlineStr">
        <is>
          <t>Substituído (refeito)</t>
        </is>
      </c>
      <c r="M943" s="2">
        <f>IF(L943="Válido","Sim","Não")</f>
        <v/>
      </c>
      <c r="N943" s="2" t="inlineStr">
        <is>
          <t>Existe ensaio mais novo para a mesma condição</t>
        </is>
      </c>
    </row>
    <row r="944">
      <c r="A944" s="2" t="inlineStr">
        <is>
          <t>1Bracos_3000_R0110_210W_2026-09-29_13_30.csv</t>
        </is>
      </c>
      <c r="B944" s="2" t="inlineStr">
        <is>
          <t>210W_3000RPM_R0110</t>
        </is>
      </c>
      <c r="C944" s="2" t="n">
        <v>210</v>
      </c>
      <c r="D944" s="2" t="n">
        <v>3000</v>
      </c>
      <c r="E944" s="3">
        <f>D944*2/60</f>
        <v/>
      </c>
      <c r="F944" s="2" t="inlineStr">
        <is>
          <t>0110</t>
        </is>
      </c>
      <c r="G944" s="2" t="n">
        <v>1</v>
      </c>
      <c r="H944" s="2">
        <f>INDEX(Parametros!$B$2:$B$9,MATCH(G944,Parametros!$A$2:$A$9,0))</f>
        <v/>
      </c>
      <c r="I944" s="4">
        <f>1/(VALUE(MID(F944,1,1))/Parametros!$E$2+VALUE(MID(F944,2,1))/Parametros!$E$3+VALUE(MID(F944,3,1))/Parametros!$E$4+VALUE(MID(F944,4,1))/Parametros!$E$5)</f>
        <v/>
      </c>
      <c r="J944" s="5">
        <f>IF(G944=0,Parametros!$E$8,Parametros!$E$6+Parametros!$E$6*(Parametros!$E$7/G944+I944)/(Parametros!$E$6+Parametros!$E$7/G944+I944))</f>
        <v/>
      </c>
      <c r="K944" s="2" t="inlineStr">
        <is>
          <t>2026-09-29 13:30</t>
        </is>
      </c>
      <c r="L944" s="8" t="inlineStr">
        <is>
          <t>Substituído (refeito)</t>
        </is>
      </c>
      <c r="M944" s="2">
        <f>IF(L944="Válido","Sim","Não")</f>
        <v/>
      </c>
      <c r="N944" s="2" t="inlineStr">
        <is>
          <t>Existe ensaio mais novo para a mesma condição</t>
        </is>
      </c>
    </row>
    <row r="945">
      <c r="A945" s="2" t="inlineStr">
        <is>
          <t>0Bracos_3000_R0110_210W_2026-09-29_13_30.csv</t>
        </is>
      </c>
      <c r="B945" s="2" t="inlineStr">
        <is>
          <t>210W_3000RPM_R0110</t>
        </is>
      </c>
      <c r="C945" s="2" t="n">
        <v>210</v>
      </c>
      <c r="D945" s="2" t="n">
        <v>3000</v>
      </c>
      <c r="E945" s="3">
        <f>D945*2/60</f>
        <v/>
      </c>
      <c r="F945" s="2" t="inlineStr">
        <is>
          <t>0110</t>
        </is>
      </c>
      <c r="G945" s="2" t="n">
        <v>0</v>
      </c>
      <c r="H945" s="2">
        <f>INDEX(Parametros!$B$2:$B$9,MATCH(G945,Parametros!$A$2:$A$9,0))</f>
        <v/>
      </c>
      <c r="I945" s="4">
        <f>1/(VALUE(MID(F945,1,1))/Parametros!$E$2+VALUE(MID(F945,2,1))/Parametros!$E$3+VALUE(MID(F945,3,1))/Parametros!$E$4+VALUE(MID(F945,4,1))/Parametros!$E$5)</f>
        <v/>
      </c>
      <c r="J945" s="5">
        <f>IF(G945=0,Parametros!$E$8,Parametros!$E$6+Parametros!$E$6*(Parametros!$E$7/G945+I945)/(Parametros!$E$6+Parametros!$E$7/G945+I945))</f>
        <v/>
      </c>
      <c r="K945" s="2" t="inlineStr">
        <is>
          <t>2026-09-29 13:30</t>
        </is>
      </c>
      <c r="L945" s="8" t="inlineStr">
        <is>
          <t>Substituído (refeito)</t>
        </is>
      </c>
      <c r="M945" s="2">
        <f>IF(L945="Válido","Sim","Não")</f>
        <v/>
      </c>
      <c r="N945" s="2" t="inlineStr">
        <is>
          <t>Existe ensaio mais novo para a mesma condição</t>
        </is>
      </c>
    </row>
    <row r="946">
      <c r="A946" s="2" t="inlineStr">
        <is>
          <t>7Bracos_3000_R0111_210W_2026-09-29_13_30.csv</t>
        </is>
      </c>
      <c r="B946" s="2" t="inlineStr">
        <is>
          <t>210W_3000RPM_R0111</t>
        </is>
      </c>
      <c r="C946" s="2" t="n">
        <v>210</v>
      </c>
      <c r="D946" s="2" t="n">
        <v>3000</v>
      </c>
      <c r="E946" s="3">
        <f>D946*2/60</f>
        <v/>
      </c>
      <c r="F946" s="2" t="inlineStr">
        <is>
          <t>0111</t>
        </is>
      </c>
      <c r="G946" s="2" t="n">
        <v>7</v>
      </c>
      <c r="H946" s="2">
        <f>INDEX(Parametros!$B$2:$B$9,MATCH(G946,Parametros!$A$2:$A$9,0))</f>
        <v/>
      </c>
      <c r="I946" s="4">
        <f>1/(VALUE(MID(F946,1,1))/Parametros!$E$2+VALUE(MID(F946,2,1))/Parametros!$E$3+VALUE(MID(F946,3,1))/Parametros!$E$4+VALUE(MID(F946,4,1))/Parametros!$E$5)</f>
        <v/>
      </c>
      <c r="J946" s="5">
        <f>IF(G946=0,Parametros!$E$8,Parametros!$E$6+Parametros!$E$6*(Parametros!$E$7/G946+I946)/(Parametros!$E$6+Parametros!$E$7/G946+I946))</f>
        <v/>
      </c>
      <c r="K946" s="2" t="inlineStr">
        <is>
          <t>2026-09-29 13:30</t>
        </is>
      </c>
      <c r="L946" s="6" t="inlineStr">
        <is>
          <t>Válido</t>
        </is>
      </c>
      <c r="M946" s="2">
        <f>IF(L946="Válido","Sim","Não")</f>
        <v/>
      </c>
      <c r="N946" s="2" t="inlineStr"/>
    </row>
    <row r="947">
      <c r="A947" s="2" t="inlineStr">
        <is>
          <t>6Bracos_3000_R0111_210W_2026-09-29_13_30.csv</t>
        </is>
      </c>
      <c r="B947" s="2" t="inlineStr">
        <is>
          <t>210W_3000RPM_R0111</t>
        </is>
      </c>
      <c r="C947" s="2" t="n">
        <v>210</v>
      </c>
      <c r="D947" s="2" t="n">
        <v>3000</v>
      </c>
      <c r="E947" s="3">
        <f>D947*2/60</f>
        <v/>
      </c>
      <c r="F947" s="2" t="inlineStr">
        <is>
          <t>0111</t>
        </is>
      </c>
      <c r="G947" s="2" t="n">
        <v>6</v>
      </c>
      <c r="H947" s="2">
        <f>INDEX(Parametros!$B$2:$B$9,MATCH(G947,Parametros!$A$2:$A$9,0))</f>
        <v/>
      </c>
      <c r="I947" s="4">
        <f>1/(VALUE(MID(F947,1,1))/Parametros!$E$2+VALUE(MID(F947,2,1))/Parametros!$E$3+VALUE(MID(F947,3,1))/Parametros!$E$4+VALUE(MID(F947,4,1))/Parametros!$E$5)</f>
        <v/>
      </c>
      <c r="J947" s="5">
        <f>IF(G947=0,Parametros!$E$8,Parametros!$E$6+Parametros!$E$6*(Parametros!$E$7/G947+I947)/(Parametros!$E$6+Parametros!$E$7/G947+I947))</f>
        <v/>
      </c>
      <c r="K947" s="2" t="inlineStr">
        <is>
          <t>2026-09-29 13:30</t>
        </is>
      </c>
      <c r="L947" s="6" t="inlineStr">
        <is>
          <t>Válido</t>
        </is>
      </c>
      <c r="M947" s="2">
        <f>IF(L947="Válido","Sim","Não")</f>
        <v/>
      </c>
      <c r="N947" s="2" t="inlineStr"/>
    </row>
    <row r="948">
      <c r="A948" s="2" t="inlineStr">
        <is>
          <t>5Bracos_3000_R0111_210W_2026-09-29_13_30.csv</t>
        </is>
      </c>
      <c r="B948" s="2" t="inlineStr">
        <is>
          <t>210W_3000RPM_R0111</t>
        </is>
      </c>
      <c r="C948" s="2" t="n">
        <v>210</v>
      </c>
      <c r="D948" s="2" t="n">
        <v>3000</v>
      </c>
      <c r="E948" s="3">
        <f>D948*2/60</f>
        <v/>
      </c>
      <c r="F948" s="2" t="inlineStr">
        <is>
          <t>0111</t>
        </is>
      </c>
      <c r="G948" s="2" t="n">
        <v>5</v>
      </c>
      <c r="H948" s="2">
        <f>INDEX(Parametros!$B$2:$B$9,MATCH(G948,Parametros!$A$2:$A$9,0))</f>
        <v/>
      </c>
      <c r="I948" s="4">
        <f>1/(VALUE(MID(F948,1,1))/Parametros!$E$2+VALUE(MID(F948,2,1))/Parametros!$E$3+VALUE(MID(F948,3,1))/Parametros!$E$4+VALUE(MID(F948,4,1))/Parametros!$E$5)</f>
        <v/>
      </c>
      <c r="J948" s="5">
        <f>IF(G948=0,Parametros!$E$8,Parametros!$E$6+Parametros!$E$6*(Parametros!$E$7/G948+I948)/(Parametros!$E$6+Parametros!$E$7/G948+I948))</f>
        <v/>
      </c>
      <c r="K948" s="2" t="inlineStr">
        <is>
          <t>2026-09-29 13:30</t>
        </is>
      </c>
      <c r="L948" s="6" t="inlineStr">
        <is>
          <t>Válido</t>
        </is>
      </c>
      <c r="M948" s="2">
        <f>IF(L948="Válido","Sim","Não")</f>
        <v/>
      </c>
      <c r="N948" s="2" t="inlineStr"/>
    </row>
    <row r="949">
      <c r="A949" s="2" t="inlineStr">
        <is>
          <t>4Bracos_3000_R0111_210W_2026-09-29_13_30.csv</t>
        </is>
      </c>
      <c r="B949" s="2" t="inlineStr">
        <is>
          <t>210W_3000RPM_R0111</t>
        </is>
      </c>
      <c r="C949" s="2" t="n">
        <v>210</v>
      </c>
      <c r="D949" s="2" t="n">
        <v>3000</v>
      </c>
      <c r="E949" s="3">
        <f>D949*2/60</f>
        <v/>
      </c>
      <c r="F949" s="2" t="inlineStr">
        <is>
          <t>0111</t>
        </is>
      </c>
      <c r="G949" s="2" t="n">
        <v>4</v>
      </c>
      <c r="H949" s="2">
        <f>INDEX(Parametros!$B$2:$B$9,MATCH(G949,Parametros!$A$2:$A$9,0))</f>
        <v/>
      </c>
      <c r="I949" s="4">
        <f>1/(VALUE(MID(F949,1,1))/Parametros!$E$2+VALUE(MID(F949,2,1))/Parametros!$E$3+VALUE(MID(F949,3,1))/Parametros!$E$4+VALUE(MID(F949,4,1))/Parametros!$E$5)</f>
        <v/>
      </c>
      <c r="J949" s="5">
        <f>IF(G949=0,Parametros!$E$8,Parametros!$E$6+Parametros!$E$6*(Parametros!$E$7/G949+I949)/(Parametros!$E$6+Parametros!$E$7/G949+I949))</f>
        <v/>
      </c>
      <c r="K949" s="2" t="inlineStr">
        <is>
          <t>2026-09-29 13:30</t>
        </is>
      </c>
      <c r="L949" s="6" t="inlineStr">
        <is>
          <t>Válido</t>
        </is>
      </c>
      <c r="M949" s="2">
        <f>IF(L949="Válido","Sim","Não")</f>
        <v/>
      </c>
      <c r="N949" s="2" t="inlineStr"/>
    </row>
    <row r="950">
      <c r="A950" s="2" t="inlineStr">
        <is>
          <t>3Bracos_3000_R0111_210W_2026-09-29_13_30.csv</t>
        </is>
      </c>
      <c r="B950" s="2" t="inlineStr">
        <is>
          <t>210W_3000RPM_R0111</t>
        </is>
      </c>
      <c r="C950" s="2" t="n">
        <v>210</v>
      </c>
      <c r="D950" s="2" t="n">
        <v>3000</v>
      </c>
      <c r="E950" s="3">
        <f>D950*2/60</f>
        <v/>
      </c>
      <c r="F950" s="2" t="inlineStr">
        <is>
          <t>0111</t>
        </is>
      </c>
      <c r="G950" s="2" t="n">
        <v>3</v>
      </c>
      <c r="H950" s="2">
        <f>INDEX(Parametros!$B$2:$B$9,MATCH(G950,Parametros!$A$2:$A$9,0))</f>
        <v/>
      </c>
      <c r="I950" s="4">
        <f>1/(VALUE(MID(F950,1,1))/Parametros!$E$2+VALUE(MID(F950,2,1))/Parametros!$E$3+VALUE(MID(F950,3,1))/Parametros!$E$4+VALUE(MID(F950,4,1))/Parametros!$E$5)</f>
        <v/>
      </c>
      <c r="J950" s="5">
        <f>IF(G950=0,Parametros!$E$8,Parametros!$E$6+Parametros!$E$6*(Parametros!$E$7/G950+I950)/(Parametros!$E$6+Parametros!$E$7/G950+I950))</f>
        <v/>
      </c>
      <c r="K950" s="2" t="inlineStr">
        <is>
          <t>2026-09-29 13:30</t>
        </is>
      </c>
      <c r="L950" s="6" t="inlineStr">
        <is>
          <t>Válido</t>
        </is>
      </c>
      <c r="M950" s="2">
        <f>IF(L950="Válido","Sim","Não")</f>
        <v/>
      </c>
      <c r="N950" s="2" t="inlineStr"/>
    </row>
    <row r="951">
      <c r="A951" s="2" t="inlineStr">
        <is>
          <t>2Bracos_3000_R0111_210W_2026-09-29_13_30.csv</t>
        </is>
      </c>
      <c r="B951" s="2" t="inlineStr">
        <is>
          <t>210W_3000RPM_R0111</t>
        </is>
      </c>
      <c r="C951" s="2" t="n">
        <v>210</v>
      </c>
      <c r="D951" s="2" t="n">
        <v>3000</v>
      </c>
      <c r="E951" s="3">
        <f>D951*2/60</f>
        <v/>
      </c>
      <c r="F951" s="2" t="inlineStr">
        <is>
          <t>0111</t>
        </is>
      </c>
      <c r="G951" s="2" t="n">
        <v>2</v>
      </c>
      <c r="H951" s="2">
        <f>INDEX(Parametros!$B$2:$B$9,MATCH(G951,Parametros!$A$2:$A$9,0))</f>
        <v/>
      </c>
      <c r="I951" s="4">
        <f>1/(VALUE(MID(F951,1,1))/Parametros!$E$2+VALUE(MID(F951,2,1))/Parametros!$E$3+VALUE(MID(F951,3,1))/Parametros!$E$4+VALUE(MID(F951,4,1))/Parametros!$E$5)</f>
        <v/>
      </c>
      <c r="J951" s="5">
        <f>IF(G951=0,Parametros!$E$8,Parametros!$E$6+Parametros!$E$6*(Parametros!$E$7/G951+I951)/(Parametros!$E$6+Parametros!$E$7/G951+I951))</f>
        <v/>
      </c>
      <c r="K951" s="2" t="inlineStr">
        <is>
          <t>2026-09-29 13:30</t>
        </is>
      </c>
      <c r="L951" s="6" t="inlineStr">
        <is>
          <t>Válido</t>
        </is>
      </c>
      <c r="M951" s="2">
        <f>IF(L951="Válido","Sim","Não")</f>
        <v/>
      </c>
      <c r="N951" s="2" t="inlineStr"/>
    </row>
    <row r="952">
      <c r="A952" s="2" t="inlineStr">
        <is>
          <t>1Bracos_3000_R0111_210W_2026-09-29_13_30.csv</t>
        </is>
      </c>
      <c r="B952" s="2" t="inlineStr">
        <is>
          <t>210W_3000RPM_R0111</t>
        </is>
      </c>
      <c r="C952" s="2" t="n">
        <v>210</v>
      </c>
      <c r="D952" s="2" t="n">
        <v>3000</v>
      </c>
      <c r="E952" s="3">
        <f>D952*2/60</f>
        <v/>
      </c>
      <c r="F952" s="2" t="inlineStr">
        <is>
          <t>0111</t>
        </is>
      </c>
      <c r="G952" s="2" t="n">
        <v>1</v>
      </c>
      <c r="H952" s="2">
        <f>INDEX(Parametros!$B$2:$B$9,MATCH(G952,Parametros!$A$2:$A$9,0))</f>
        <v/>
      </c>
      <c r="I952" s="4">
        <f>1/(VALUE(MID(F952,1,1))/Parametros!$E$2+VALUE(MID(F952,2,1))/Parametros!$E$3+VALUE(MID(F952,3,1))/Parametros!$E$4+VALUE(MID(F952,4,1))/Parametros!$E$5)</f>
        <v/>
      </c>
      <c r="J952" s="5">
        <f>IF(G952=0,Parametros!$E$8,Parametros!$E$6+Parametros!$E$6*(Parametros!$E$7/G952+I952)/(Parametros!$E$6+Parametros!$E$7/G952+I952))</f>
        <v/>
      </c>
      <c r="K952" s="2" t="inlineStr">
        <is>
          <t>2026-09-29 13:30</t>
        </is>
      </c>
      <c r="L952" s="6" t="inlineStr">
        <is>
          <t>Válido</t>
        </is>
      </c>
      <c r="M952" s="2">
        <f>IF(L952="Válido","Sim","Não")</f>
        <v/>
      </c>
      <c r="N952" s="2" t="inlineStr"/>
    </row>
    <row r="953">
      <c r="A953" s="2" t="inlineStr">
        <is>
          <t>0Bracos_3000_R0111_210W_2026-09-29_13_30.csv</t>
        </is>
      </c>
      <c r="B953" s="2" t="inlineStr">
        <is>
          <t>210W_3000RPM_R0111</t>
        </is>
      </c>
      <c r="C953" s="2" t="n">
        <v>210</v>
      </c>
      <c r="D953" s="2" t="n">
        <v>3000</v>
      </c>
      <c r="E953" s="3">
        <f>D953*2/60</f>
        <v/>
      </c>
      <c r="F953" s="2" t="inlineStr">
        <is>
          <t>0111</t>
        </is>
      </c>
      <c r="G953" s="2" t="n">
        <v>0</v>
      </c>
      <c r="H953" s="2">
        <f>INDEX(Parametros!$B$2:$B$9,MATCH(G953,Parametros!$A$2:$A$9,0))</f>
        <v/>
      </c>
      <c r="I953" s="4">
        <f>1/(VALUE(MID(F953,1,1))/Parametros!$E$2+VALUE(MID(F953,2,1))/Parametros!$E$3+VALUE(MID(F953,3,1))/Parametros!$E$4+VALUE(MID(F953,4,1))/Parametros!$E$5)</f>
        <v/>
      </c>
      <c r="J953" s="5">
        <f>IF(G953=0,Parametros!$E$8,Parametros!$E$6+Parametros!$E$6*(Parametros!$E$7/G953+I953)/(Parametros!$E$6+Parametros!$E$7/G953+I953))</f>
        <v/>
      </c>
      <c r="K953" s="2" t="inlineStr">
        <is>
          <t>2026-09-29 13:30</t>
        </is>
      </c>
      <c r="L953" s="6" t="inlineStr">
        <is>
          <t>Válido</t>
        </is>
      </c>
      <c r="M953" s="2">
        <f>IF(L953="Válido","Sim","Não")</f>
        <v/>
      </c>
      <c r="N953" s="2" t="inlineStr"/>
    </row>
    <row r="954">
      <c r="A954" s="2" t="inlineStr">
        <is>
          <t>7Bracos_3000_R1000_210W_2026-09-29_13_30.csv</t>
        </is>
      </c>
      <c r="B954" s="2" t="inlineStr">
        <is>
          <t>210W_3000RPM_R1000</t>
        </is>
      </c>
      <c r="C954" s="2" t="n">
        <v>210</v>
      </c>
      <c r="D954" s="2" t="n">
        <v>3000</v>
      </c>
      <c r="E954" s="3">
        <f>D954*2/60</f>
        <v/>
      </c>
      <c r="F954" s="2" t="inlineStr">
        <is>
          <t>1000</t>
        </is>
      </c>
      <c r="G954" s="2" t="n">
        <v>7</v>
      </c>
      <c r="H954" s="2">
        <f>INDEX(Parametros!$B$2:$B$9,MATCH(G954,Parametros!$A$2:$A$9,0))</f>
        <v/>
      </c>
      <c r="I954" s="4">
        <f>1/(VALUE(MID(F954,1,1))/Parametros!$E$2+VALUE(MID(F954,2,1))/Parametros!$E$3+VALUE(MID(F954,3,1))/Parametros!$E$4+VALUE(MID(F954,4,1))/Parametros!$E$5)</f>
        <v/>
      </c>
      <c r="J954" s="5">
        <f>IF(G954=0,Parametros!$E$8,Parametros!$E$6+Parametros!$E$6*(Parametros!$E$7/G954+I954)/(Parametros!$E$6+Parametros!$E$7/G954+I954))</f>
        <v/>
      </c>
      <c r="K954" s="2" t="inlineStr">
        <is>
          <t>2026-09-29 13:30</t>
        </is>
      </c>
      <c r="L954" s="6" t="inlineStr">
        <is>
          <t>Válido</t>
        </is>
      </c>
      <c r="M954" s="2">
        <f>IF(L954="Válido","Sim","Não")</f>
        <v/>
      </c>
      <c r="N954" s="2" t="inlineStr"/>
    </row>
    <row r="955">
      <c r="A955" s="2" t="inlineStr">
        <is>
          <t>6Bracos_3000_R1000_210W_2026-09-29_13_30.csv</t>
        </is>
      </c>
      <c r="B955" s="2" t="inlineStr">
        <is>
          <t>210W_3000RPM_R1000</t>
        </is>
      </c>
      <c r="C955" s="2" t="n">
        <v>210</v>
      </c>
      <c r="D955" s="2" t="n">
        <v>3000</v>
      </c>
      <c r="E955" s="3">
        <f>D955*2/60</f>
        <v/>
      </c>
      <c r="F955" s="2" t="inlineStr">
        <is>
          <t>1000</t>
        </is>
      </c>
      <c r="G955" s="2" t="n">
        <v>6</v>
      </c>
      <c r="H955" s="2">
        <f>INDEX(Parametros!$B$2:$B$9,MATCH(G955,Parametros!$A$2:$A$9,0))</f>
        <v/>
      </c>
      <c r="I955" s="4">
        <f>1/(VALUE(MID(F955,1,1))/Parametros!$E$2+VALUE(MID(F955,2,1))/Parametros!$E$3+VALUE(MID(F955,3,1))/Parametros!$E$4+VALUE(MID(F955,4,1))/Parametros!$E$5)</f>
        <v/>
      </c>
      <c r="J955" s="5">
        <f>IF(G955=0,Parametros!$E$8,Parametros!$E$6+Parametros!$E$6*(Parametros!$E$7/G955+I955)/(Parametros!$E$6+Parametros!$E$7/G955+I955))</f>
        <v/>
      </c>
      <c r="K955" s="2" t="inlineStr">
        <is>
          <t>2026-09-29 13:30</t>
        </is>
      </c>
      <c r="L955" s="6" t="inlineStr">
        <is>
          <t>Válido</t>
        </is>
      </c>
      <c r="M955" s="2">
        <f>IF(L955="Válido","Sim","Não")</f>
        <v/>
      </c>
      <c r="N955" s="2" t="inlineStr"/>
    </row>
    <row r="956">
      <c r="A956" s="2" t="inlineStr">
        <is>
          <t>5Bracos_3000_R1000_210W_2026-09-29_13_30.csv</t>
        </is>
      </c>
      <c r="B956" s="2" t="inlineStr">
        <is>
          <t>210W_3000RPM_R1000</t>
        </is>
      </c>
      <c r="C956" s="2" t="n">
        <v>210</v>
      </c>
      <c r="D956" s="2" t="n">
        <v>3000</v>
      </c>
      <c r="E956" s="3">
        <f>D956*2/60</f>
        <v/>
      </c>
      <c r="F956" s="2" t="inlineStr">
        <is>
          <t>1000</t>
        </is>
      </c>
      <c r="G956" s="2" t="n">
        <v>5</v>
      </c>
      <c r="H956" s="2">
        <f>INDEX(Parametros!$B$2:$B$9,MATCH(G956,Parametros!$A$2:$A$9,0))</f>
        <v/>
      </c>
      <c r="I956" s="4">
        <f>1/(VALUE(MID(F956,1,1))/Parametros!$E$2+VALUE(MID(F956,2,1))/Parametros!$E$3+VALUE(MID(F956,3,1))/Parametros!$E$4+VALUE(MID(F956,4,1))/Parametros!$E$5)</f>
        <v/>
      </c>
      <c r="J956" s="5">
        <f>IF(G956=0,Parametros!$E$8,Parametros!$E$6+Parametros!$E$6*(Parametros!$E$7/G956+I956)/(Parametros!$E$6+Parametros!$E$7/G956+I956))</f>
        <v/>
      </c>
      <c r="K956" s="2" t="inlineStr">
        <is>
          <t>2026-09-29 13:30</t>
        </is>
      </c>
      <c r="L956" s="6" t="inlineStr">
        <is>
          <t>Válido</t>
        </is>
      </c>
      <c r="M956" s="2">
        <f>IF(L956="Válido","Sim","Não")</f>
        <v/>
      </c>
      <c r="N956" s="2" t="inlineStr"/>
    </row>
    <row r="957">
      <c r="A957" s="2" t="inlineStr">
        <is>
          <t>4Bracos_3000_R1000_210W_2026-09-29_13_30.csv</t>
        </is>
      </c>
      <c r="B957" s="2" t="inlineStr">
        <is>
          <t>210W_3000RPM_R1000</t>
        </is>
      </c>
      <c r="C957" s="2" t="n">
        <v>210</v>
      </c>
      <c r="D957" s="2" t="n">
        <v>3000</v>
      </c>
      <c r="E957" s="3">
        <f>D957*2/60</f>
        <v/>
      </c>
      <c r="F957" s="2" t="inlineStr">
        <is>
          <t>1000</t>
        </is>
      </c>
      <c r="G957" s="2" t="n">
        <v>4</v>
      </c>
      <c r="H957" s="2">
        <f>INDEX(Parametros!$B$2:$B$9,MATCH(G957,Parametros!$A$2:$A$9,0))</f>
        <v/>
      </c>
      <c r="I957" s="4">
        <f>1/(VALUE(MID(F957,1,1))/Parametros!$E$2+VALUE(MID(F957,2,1))/Parametros!$E$3+VALUE(MID(F957,3,1))/Parametros!$E$4+VALUE(MID(F957,4,1))/Parametros!$E$5)</f>
        <v/>
      </c>
      <c r="J957" s="5">
        <f>IF(G957=0,Parametros!$E$8,Parametros!$E$6+Parametros!$E$6*(Parametros!$E$7/G957+I957)/(Parametros!$E$6+Parametros!$E$7/G957+I957))</f>
        <v/>
      </c>
      <c r="K957" s="2" t="inlineStr">
        <is>
          <t>2026-09-29 13:30</t>
        </is>
      </c>
      <c r="L957" s="6" t="inlineStr">
        <is>
          <t>Válido</t>
        </is>
      </c>
      <c r="M957" s="2">
        <f>IF(L957="Válido","Sim","Não")</f>
        <v/>
      </c>
      <c r="N957" s="2" t="inlineStr"/>
    </row>
    <row r="958">
      <c r="A958" s="2" t="inlineStr">
        <is>
          <t>3Bracos_3000_R1000_210W_2026-09-29_13_30.csv</t>
        </is>
      </c>
      <c r="B958" s="2" t="inlineStr">
        <is>
          <t>210W_3000RPM_R1000</t>
        </is>
      </c>
      <c r="C958" s="2" t="n">
        <v>210</v>
      </c>
      <c r="D958" s="2" t="n">
        <v>3000</v>
      </c>
      <c r="E958" s="3">
        <f>D958*2/60</f>
        <v/>
      </c>
      <c r="F958" s="2" t="inlineStr">
        <is>
          <t>1000</t>
        </is>
      </c>
      <c r="G958" s="2" t="n">
        <v>3</v>
      </c>
      <c r="H958" s="2">
        <f>INDEX(Parametros!$B$2:$B$9,MATCH(G958,Parametros!$A$2:$A$9,0))</f>
        <v/>
      </c>
      <c r="I958" s="4">
        <f>1/(VALUE(MID(F958,1,1))/Parametros!$E$2+VALUE(MID(F958,2,1))/Parametros!$E$3+VALUE(MID(F958,3,1))/Parametros!$E$4+VALUE(MID(F958,4,1))/Parametros!$E$5)</f>
        <v/>
      </c>
      <c r="J958" s="5">
        <f>IF(G958=0,Parametros!$E$8,Parametros!$E$6+Parametros!$E$6*(Parametros!$E$7/G958+I958)/(Parametros!$E$6+Parametros!$E$7/G958+I958))</f>
        <v/>
      </c>
      <c r="K958" s="2" t="inlineStr">
        <is>
          <t>2026-09-29 13:30</t>
        </is>
      </c>
      <c r="L958" s="6" t="inlineStr">
        <is>
          <t>Válido</t>
        </is>
      </c>
      <c r="M958" s="2">
        <f>IF(L958="Válido","Sim","Não")</f>
        <v/>
      </c>
      <c r="N958" s="2" t="inlineStr"/>
    </row>
    <row r="959">
      <c r="A959" s="2" t="inlineStr">
        <is>
          <t>2Bracos_3000_R1000_210W_2026-09-29_13_30.csv</t>
        </is>
      </c>
      <c r="B959" s="2" t="inlineStr">
        <is>
          <t>210W_3000RPM_R1000</t>
        </is>
      </c>
      <c r="C959" s="2" t="n">
        <v>210</v>
      </c>
      <c r="D959" s="2" t="n">
        <v>3000</v>
      </c>
      <c r="E959" s="3">
        <f>D959*2/60</f>
        <v/>
      </c>
      <c r="F959" s="2" t="inlineStr">
        <is>
          <t>1000</t>
        </is>
      </c>
      <c r="G959" s="2" t="n">
        <v>2</v>
      </c>
      <c r="H959" s="2">
        <f>INDEX(Parametros!$B$2:$B$9,MATCH(G959,Parametros!$A$2:$A$9,0))</f>
        <v/>
      </c>
      <c r="I959" s="4">
        <f>1/(VALUE(MID(F959,1,1))/Parametros!$E$2+VALUE(MID(F959,2,1))/Parametros!$E$3+VALUE(MID(F959,3,1))/Parametros!$E$4+VALUE(MID(F959,4,1))/Parametros!$E$5)</f>
        <v/>
      </c>
      <c r="J959" s="5">
        <f>IF(G959=0,Parametros!$E$8,Parametros!$E$6+Parametros!$E$6*(Parametros!$E$7/G959+I959)/(Parametros!$E$6+Parametros!$E$7/G959+I959))</f>
        <v/>
      </c>
      <c r="K959" s="2" t="inlineStr">
        <is>
          <t>2026-09-29 13:30</t>
        </is>
      </c>
      <c r="L959" s="6" t="inlineStr">
        <is>
          <t>Válido</t>
        </is>
      </c>
      <c r="M959" s="2">
        <f>IF(L959="Válido","Sim","Não")</f>
        <v/>
      </c>
      <c r="N959" s="2" t="inlineStr"/>
    </row>
    <row r="960">
      <c r="A960" s="2" t="inlineStr">
        <is>
          <t>1Bracos_3000_R1000_210W_2026-09-29_13_30.csv</t>
        </is>
      </c>
      <c r="B960" s="2" t="inlineStr">
        <is>
          <t>210W_3000RPM_R1000</t>
        </is>
      </c>
      <c r="C960" s="2" t="n">
        <v>210</v>
      </c>
      <c r="D960" s="2" t="n">
        <v>3000</v>
      </c>
      <c r="E960" s="3">
        <f>D960*2/60</f>
        <v/>
      </c>
      <c r="F960" s="2" t="inlineStr">
        <is>
          <t>1000</t>
        </is>
      </c>
      <c r="G960" s="2" t="n">
        <v>1</v>
      </c>
      <c r="H960" s="2">
        <f>INDEX(Parametros!$B$2:$B$9,MATCH(G960,Parametros!$A$2:$A$9,0))</f>
        <v/>
      </c>
      <c r="I960" s="4">
        <f>1/(VALUE(MID(F960,1,1))/Parametros!$E$2+VALUE(MID(F960,2,1))/Parametros!$E$3+VALUE(MID(F960,3,1))/Parametros!$E$4+VALUE(MID(F960,4,1))/Parametros!$E$5)</f>
        <v/>
      </c>
      <c r="J960" s="5">
        <f>IF(G960=0,Parametros!$E$8,Parametros!$E$6+Parametros!$E$6*(Parametros!$E$7/G960+I960)/(Parametros!$E$6+Parametros!$E$7/G960+I960))</f>
        <v/>
      </c>
      <c r="K960" s="2" t="inlineStr">
        <is>
          <t>2026-09-29 13:30</t>
        </is>
      </c>
      <c r="L960" s="6" t="inlineStr">
        <is>
          <t>Válido</t>
        </is>
      </c>
      <c r="M960" s="2">
        <f>IF(L960="Válido","Sim","Não")</f>
        <v/>
      </c>
      <c r="N960" s="2" t="inlineStr"/>
    </row>
    <row r="961">
      <c r="A961" s="2" t="inlineStr">
        <is>
          <t>0Bracos_3000_R1000_210W_2026-09-29_13_30.csv</t>
        </is>
      </c>
      <c r="B961" s="2" t="inlineStr">
        <is>
          <t>210W_3000RPM_R1000</t>
        </is>
      </c>
      <c r="C961" s="2" t="n">
        <v>210</v>
      </c>
      <c r="D961" s="2" t="n">
        <v>3000</v>
      </c>
      <c r="E961" s="3">
        <f>D961*2/60</f>
        <v/>
      </c>
      <c r="F961" s="2" t="inlineStr">
        <is>
          <t>1000</t>
        </is>
      </c>
      <c r="G961" s="2" t="n">
        <v>0</v>
      </c>
      <c r="H961" s="2">
        <f>INDEX(Parametros!$B$2:$B$9,MATCH(G961,Parametros!$A$2:$A$9,0))</f>
        <v/>
      </c>
      <c r="I961" s="4">
        <f>1/(VALUE(MID(F961,1,1))/Parametros!$E$2+VALUE(MID(F961,2,1))/Parametros!$E$3+VALUE(MID(F961,3,1))/Parametros!$E$4+VALUE(MID(F961,4,1))/Parametros!$E$5)</f>
        <v/>
      </c>
      <c r="J961" s="5">
        <f>IF(G961=0,Parametros!$E$8,Parametros!$E$6+Parametros!$E$6*(Parametros!$E$7/G961+I961)/(Parametros!$E$6+Parametros!$E$7/G961+I961))</f>
        <v/>
      </c>
      <c r="K961" s="2" t="inlineStr">
        <is>
          <t>2026-09-29 13:30</t>
        </is>
      </c>
      <c r="L961" s="6" t="inlineStr">
        <is>
          <t>Válido</t>
        </is>
      </c>
      <c r="M961" s="2">
        <f>IF(L961="Válido","Sim","Não")</f>
        <v/>
      </c>
      <c r="N961" s="2" t="inlineStr"/>
    </row>
    <row r="962">
      <c r="A962" s="2" t="inlineStr">
        <is>
          <t>7Bracos_3000_R1001_210W_2026-09-29_13_30.csv</t>
        </is>
      </c>
      <c r="B962" s="2" t="inlineStr">
        <is>
          <t>210W_3000RPM_R1001</t>
        </is>
      </c>
      <c r="C962" s="2" t="n">
        <v>210</v>
      </c>
      <c r="D962" s="2" t="n">
        <v>3000</v>
      </c>
      <c r="E962" s="3">
        <f>D962*2/60</f>
        <v/>
      </c>
      <c r="F962" s="2" t="inlineStr">
        <is>
          <t>1001</t>
        </is>
      </c>
      <c r="G962" s="2" t="n">
        <v>7</v>
      </c>
      <c r="H962" s="2">
        <f>INDEX(Parametros!$B$2:$B$9,MATCH(G962,Parametros!$A$2:$A$9,0))</f>
        <v/>
      </c>
      <c r="I962" s="4">
        <f>1/(VALUE(MID(F962,1,1))/Parametros!$E$2+VALUE(MID(F962,2,1))/Parametros!$E$3+VALUE(MID(F962,3,1))/Parametros!$E$4+VALUE(MID(F962,4,1))/Parametros!$E$5)</f>
        <v/>
      </c>
      <c r="J962" s="5">
        <f>IF(G962=0,Parametros!$E$8,Parametros!$E$6+Parametros!$E$6*(Parametros!$E$7/G962+I962)/(Parametros!$E$6+Parametros!$E$7/G962+I962))</f>
        <v/>
      </c>
      <c r="K962" s="2" t="inlineStr">
        <is>
          <t>2026-09-29 13:30</t>
        </is>
      </c>
      <c r="L962" s="6" t="inlineStr">
        <is>
          <t>Válido</t>
        </is>
      </c>
      <c r="M962" s="2">
        <f>IF(L962="Válido","Sim","Não")</f>
        <v/>
      </c>
      <c r="N962" s="2" t="inlineStr"/>
    </row>
    <row r="963">
      <c r="A963" s="2" t="inlineStr">
        <is>
          <t>6Bracos_3000_R1001_210W_2026-09-29_13_30.csv</t>
        </is>
      </c>
      <c r="B963" s="2" t="inlineStr">
        <is>
          <t>210W_3000RPM_R1001</t>
        </is>
      </c>
      <c r="C963" s="2" t="n">
        <v>210</v>
      </c>
      <c r="D963" s="2" t="n">
        <v>3000</v>
      </c>
      <c r="E963" s="3">
        <f>D963*2/60</f>
        <v/>
      </c>
      <c r="F963" s="2" t="inlineStr">
        <is>
          <t>1001</t>
        </is>
      </c>
      <c r="G963" s="2" t="n">
        <v>6</v>
      </c>
      <c r="H963" s="2">
        <f>INDEX(Parametros!$B$2:$B$9,MATCH(G963,Parametros!$A$2:$A$9,0))</f>
        <v/>
      </c>
      <c r="I963" s="4">
        <f>1/(VALUE(MID(F963,1,1))/Parametros!$E$2+VALUE(MID(F963,2,1))/Parametros!$E$3+VALUE(MID(F963,3,1))/Parametros!$E$4+VALUE(MID(F963,4,1))/Parametros!$E$5)</f>
        <v/>
      </c>
      <c r="J963" s="5">
        <f>IF(G963=0,Parametros!$E$8,Parametros!$E$6+Parametros!$E$6*(Parametros!$E$7/G963+I963)/(Parametros!$E$6+Parametros!$E$7/G963+I963))</f>
        <v/>
      </c>
      <c r="K963" s="2" t="inlineStr">
        <is>
          <t>2026-09-29 13:30</t>
        </is>
      </c>
      <c r="L963" s="6" t="inlineStr">
        <is>
          <t>Válido</t>
        </is>
      </c>
      <c r="M963" s="2">
        <f>IF(L963="Válido","Sim","Não")</f>
        <v/>
      </c>
      <c r="N963" s="2" t="inlineStr"/>
    </row>
    <row r="964">
      <c r="A964" s="2" t="inlineStr">
        <is>
          <t>5Bracos_3000_R1001_210W_2026-09-29_13_30.csv</t>
        </is>
      </c>
      <c r="B964" s="2" t="inlineStr">
        <is>
          <t>210W_3000RPM_R1001</t>
        </is>
      </c>
      <c r="C964" s="2" t="n">
        <v>210</v>
      </c>
      <c r="D964" s="2" t="n">
        <v>3000</v>
      </c>
      <c r="E964" s="3">
        <f>D964*2/60</f>
        <v/>
      </c>
      <c r="F964" s="2" t="inlineStr">
        <is>
          <t>1001</t>
        </is>
      </c>
      <c r="G964" s="2" t="n">
        <v>5</v>
      </c>
      <c r="H964" s="2">
        <f>INDEX(Parametros!$B$2:$B$9,MATCH(G964,Parametros!$A$2:$A$9,0))</f>
        <v/>
      </c>
      <c r="I964" s="4">
        <f>1/(VALUE(MID(F964,1,1))/Parametros!$E$2+VALUE(MID(F964,2,1))/Parametros!$E$3+VALUE(MID(F964,3,1))/Parametros!$E$4+VALUE(MID(F964,4,1))/Parametros!$E$5)</f>
        <v/>
      </c>
      <c r="J964" s="5">
        <f>IF(G964=0,Parametros!$E$8,Parametros!$E$6+Parametros!$E$6*(Parametros!$E$7/G964+I964)/(Parametros!$E$6+Parametros!$E$7/G964+I964))</f>
        <v/>
      </c>
      <c r="K964" s="2" t="inlineStr">
        <is>
          <t>2026-09-29 13:30</t>
        </is>
      </c>
      <c r="L964" s="6" t="inlineStr">
        <is>
          <t>Válido</t>
        </is>
      </c>
      <c r="M964" s="2">
        <f>IF(L964="Válido","Sim","Não")</f>
        <v/>
      </c>
      <c r="N964" s="2" t="inlineStr"/>
    </row>
    <row r="965">
      <c r="A965" s="2" t="inlineStr">
        <is>
          <t>4Bracos_3000_R1001_210W_2026-09-29_13_30.csv</t>
        </is>
      </c>
      <c r="B965" s="2" t="inlineStr">
        <is>
          <t>210W_3000RPM_R1001</t>
        </is>
      </c>
      <c r="C965" s="2" t="n">
        <v>210</v>
      </c>
      <c r="D965" s="2" t="n">
        <v>3000</v>
      </c>
      <c r="E965" s="3">
        <f>D965*2/60</f>
        <v/>
      </c>
      <c r="F965" s="2" t="inlineStr">
        <is>
          <t>1001</t>
        </is>
      </c>
      <c r="G965" s="2" t="n">
        <v>4</v>
      </c>
      <c r="H965" s="2">
        <f>INDEX(Parametros!$B$2:$B$9,MATCH(G965,Parametros!$A$2:$A$9,0))</f>
        <v/>
      </c>
      <c r="I965" s="4">
        <f>1/(VALUE(MID(F965,1,1))/Parametros!$E$2+VALUE(MID(F965,2,1))/Parametros!$E$3+VALUE(MID(F965,3,1))/Parametros!$E$4+VALUE(MID(F965,4,1))/Parametros!$E$5)</f>
        <v/>
      </c>
      <c r="J965" s="5">
        <f>IF(G965=0,Parametros!$E$8,Parametros!$E$6+Parametros!$E$6*(Parametros!$E$7/G965+I965)/(Parametros!$E$6+Parametros!$E$7/G965+I965))</f>
        <v/>
      </c>
      <c r="K965" s="2" t="inlineStr">
        <is>
          <t>2026-09-29 13:30</t>
        </is>
      </c>
      <c r="L965" s="6" t="inlineStr">
        <is>
          <t>Válido</t>
        </is>
      </c>
      <c r="M965" s="2">
        <f>IF(L965="Válido","Sim","Não")</f>
        <v/>
      </c>
      <c r="N965" s="2" t="inlineStr"/>
    </row>
    <row r="966">
      <c r="A966" s="2" t="inlineStr">
        <is>
          <t>3Bracos_3000_R1001_210W_2026-09-29_13_30.csv</t>
        </is>
      </c>
      <c r="B966" s="2" t="inlineStr">
        <is>
          <t>210W_3000RPM_R1001</t>
        </is>
      </c>
      <c r="C966" s="2" t="n">
        <v>210</v>
      </c>
      <c r="D966" s="2" t="n">
        <v>3000</v>
      </c>
      <c r="E966" s="3">
        <f>D966*2/60</f>
        <v/>
      </c>
      <c r="F966" s="2" t="inlineStr">
        <is>
          <t>1001</t>
        </is>
      </c>
      <c r="G966" s="2" t="n">
        <v>3</v>
      </c>
      <c r="H966" s="2">
        <f>INDEX(Parametros!$B$2:$B$9,MATCH(G966,Parametros!$A$2:$A$9,0))</f>
        <v/>
      </c>
      <c r="I966" s="4">
        <f>1/(VALUE(MID(F966,1,1))/Parametros!$E$2+VALUE(MID(F966,2,1))/Parametros!$E$3+VALUE(MID(F966,3,1))/Parametros!$E$4+VALUE(MID(F966,4,1))/Parametros!$E$5)</f>
        <v/>
      </c>
      <c r="J966" s="5">
        <f>IF(G966=0,Parametros!$E$8,Parametros!$E$6+Parametros!$E$6*(Parametros!$E$7/G966+I966)/(Parametros!$E$6+Parametros!$E$7/G966+I966))</f>
        <v/>
      </c>
      <c r="K966" s="2" t="inlineStr">
        <is>
          <t>2026-09-29 13:30</t>
        </is>
      </c>
      <c r="L966" s="6" t="inlineStr">
        <is>
          <t>Válido</t>
        </is>
      </c>
      <c r="M966" s="2">
        <f>IF(L966="Válido","Sim","Não")</f>
        <v/>
      </c>
      <c r="N966" s="2" t="inlineStr"/>
    </row>
    <row r="967">
      <c r="A967" s="2" t="inlineStr">
        <is>
          <t>2Bracos_3000_R1001_210W_2026-09-29_13_30.csv</t>
        </is>
      </c>
      <c r="B967" s="2" t="inlineStr">
        <is>
          <t>210W_3000RPM_R1001</t>
        </is>
      </c>
      <c r="C967" s="2" t="n">
        <v>210</v>
      </c>
      <c r="D967" s="2" t="n">
        <v>3000</v>
      </c>
      <c r="E967" s="3">
        <f>D967*2/60</f>
        <v/>
      </c>
      <c r="F967" s="2" t="inlineStr">
        <is>
          <t>1001</t>
        </is>
      </c>
      <c r="G967" s="2" t="n">
        <v>2</v>
      </c>
      <c r="H967" s="2">
        <f>INDEX(Parametros!$B$2:$B$9,MATCH(G967,Parametros!$A$2:$A$9,0))</f>
        <v/>
      </c>
      <c r="I967" s="4">
        <f>1/(VALUE(MID(F967,1,1))/Parametros!$E$2+VALUE(MID(F967,2,1))/Parametros!$E$3+VALUE(MID(F967,3,1))/Parametros!$E$4+VALUE(MID(F967,4,1))/Parametros!$E$5)</f>
        <v/>
      </c>
      <c r="J967" s="5">
        <f>IF(G967=0,Parametros!$E$8,Parametros!$E$6+Parametros!$E$6*(Parametros!$E$7/G967+I967)/(Parametros!$E$6+Parametros!$E$7/G967+I967))</f>
        <v/>
      </c>
      <c r="K967" s="2" t="inlineStr">
        <is>
          <t>2026-09-29 13:30</t>
        </is>
      </c>
      <c r="L967" s="6" t="inlineStr">
        <is>
          <t>Válido</t>
        </is>
      </c>
      <c r="M967" s="2">
        <f>IF(L967="Válido","Sim","Não")</f>
        <v/>
      </c>
      <c r="N967" s="2" t="inlineStr"/>
    </row>
    <row r="968">
      <c r="A968" s="2" t="inlineStr">
        <is>
          <t>1Bracos_3000_R1001_210W_2026-09-29_13_30.csv</t>
        </is>
      </c>
      <c r="B968" s="2" t="inlineStr">
        <is>
          <t>210W_3000RPM_R1001</t>
        </is>
      </c>
      <c r="C968" s="2" t="n">
        <v>210</v>
      </c>
      <c r="D968" s="2" t="n">
        <v>3000</v>
      </c>
      <c r="E968" s="3">
        <f>D968*2/60</f>
        <v/>
      </c>
      <c r="F968" s="2" t="inlineStr">
        <is>
          <t>1001</t>
        </is>
      </c>
      <c r="G968" s="2" t="n">
        <v>1</v>
      </c>
      <c r="H968" s="2">
        <f>INDEX(Parametros!$B$2:$B$9,MATCH(G968,Parametros!$A$2:$A$9,0))</f>
        <v/>
      </c>
      <c r="I968" s="4">
        <f>1/(VALUE(MID(F968,1,1))/Parametros!$E$2+VALUE(MID(F968,2,1))/Parametros!$E$3+VALUE(MID(F968,3,1))/Parametros!$E$4+VALUE(MID(F968,4,1))/Parametros!$E$5)</f>
        <v/>
      </c>
      <c r="J968" s="5">
        <f>IF(G968=0,Parametros!$E$8,Parametros!$E$6+Parametros!$E$6*(Parametros!$E$7/G968+I968)/(Parametros!$E$6+Parametros!$E$7/G968+I968))</f>
        <v/>
      </c>
      <c r="K968" s="2" t="inlineStr">
        <is>
          <t>2026-09-29 13:30</t>
        </is>
      </c>
      <c r="L968" s="6" t="inlineStr">
        <is>
          <t>Válido</t>
        </is>
      </c>
      <c r="M968" s="2">
        <f>IF(L968="Válido","Sim","Não")</f>
        <v/>
      </c>
      <c r="N968" s="2" t="inlineStr"/>
    </row>
    <row r="969">
      <c r="A969" s="2" t="inlineStr">
        <is>
          <t>0Bracos_3000_R1001_210W_2026-09-29_13_30.csv</t>
        </is>
      </c>
      <c r="B969" s="2" t="inlineStr">
        <is>
          <t>210W_3000RPM_R1001</t>
        </is>
      </c>
      <c r="C969" s="2" t="n">
        <v>210</v>
      </c>
      <c r="D969" s="2" t="n">
        <v>3000</v>
      </c>
      <c r="E969" s="3">
        <f>D969*2/60</f>
        <v/>
      </c>
      <c r="F969" s="2" t="inlineStr">
        <is>
          <t>1001</t>
        </is>
      </c>
      <c r="G969" s="2" t="n">
        <v>0</v>
      </c>
      <c r="H969" s="2">
        <f>INDEX(Parametros!$B$2:$B$9,MATCH(G969,Parametros!$A$2:$A$9,0))</f>
        <v/>
      </c>
      <c r="I969" s="4">
        <f>1/(VALUE(MID(F969,1,1))/Parametros!$E$2+VALUE(MID(F969,2,1))/Parametros!$E$3+VALUE(MID(F969,3,1))/Parametros!$E$4+VALUE(MID(F969,4,1))/Parametros!$E$5)</f>
        <v/>
      </c>
      <c r="J969" s="5">
        <f>IF(G969=0,Parametros!$E$8,Parametros!$E$6+Parametros!$E$6*(Parametros!$E$7/G969+I969)/(Parametros!$E$6+Parametros!$E$7/G969+I969))</f>
        <v/>
      </c>
      <c r="K969" s="2" t="inlineStr">
        <is>
          <t>2026-09-29 13:30</t>
        </is>
      </c>
      <c r="L969" s="6" t="inlineStr">
        <is>
          <t>Válido</t>
        </is>
      </c>
      <c r="M969" s="2">
        <f>IF(L969="Válido","Sim","Não")</f>
        <v/>
      </c>
      <c r="N969" s="2" t="inlineStr"/>
    </row>
    <row r="970">
      <c r="A970" s="2" t="inlineStr">
        <is>
          <t>7Bracos_3000_R1010_210W_2026-09-29_13_30.csv</t>
        </is>
      </c>
      <c r="B970" s="2" t="inlineStr">
        <is>
          <t>210W_3000RPM_R1010</t>
        </is>
      </c>
      <c r="C970" s="2" t="n">
        <v>210</v>
      </c>
      <c r="D970" s="2" t="n">
        <v>3000</v>
      </c>
      <c r="E970" s="3">
        <f>D970*2/60</f>
        <v/>
      </c>
      <c r="F970" s="2" t="inlineStr">
        <is>
          <t>1010</t>
        </is>
      </c>
      <c r="G970" s="2" t="n">
        <v>7</v>
      </c>
      <c r="H970" s="2">
        <f>INDEX(Parametros!$B$2:$B$9,MATCH(G970,Parametros!$A$2:$A$9,0))</f>
        <v/>
      </c>
      <c r="I970" s="4">
        <f>1/(VALUE(MID(F970,1,1))/Parametros!$E$2+VALUE(MID(F970,2,1))/Parametros!$E$3+VALUE(MID(F970,3,1))/Parametros!$E$4+VALUE(MID(F970,4,1))/Parametros!$E$5)</f>
        <v/>
      </c>
      <c r="J970" s="5">
        <f>IF(G970=0,Parametros!$E$8,Parametros!$E$6+Parametros!$E$6*(Parametros!$E$7/G970+I970)/(Parametros!$E$6+Parametros!$E$7/G970+I970))</f>
        <v/>
      </c>
      <c r="K970" s="2" t="inlineStr">
        <is>
          <t>2026-09-29 13:30</t>
        </is>
      </c>
      <c r="L970" s="6" t="inlineStr">
        <is>
          <t>Válido</t>
        </is>
      </c>
      <c r="M970" s="2">
        <f>IF(L970="Válido","Sim","Não")</f>
        <v/>
      </c>
      <c r="N970" s="2" t="inlineStr"/>
    </row>
    <row r="971">
      <c r="A971" s="2" t="inlineStr">
        <is>
          <t>6Bracos_3000_R1010_210W_2026-09-29_13_30.csv</t>
        </is>
      </c>
      <c r="B971" s="2" t="inlineStr">
        <is>
          <t>210W_3000RPM_R1010</t>
        </is>
      </c>
      <c r="C971" s="2" t="n">
        <v>210</v>
      </c>
      <c r="D971" s="2" t="n">
        <v>3000</v>
      </c>
      <c r="E971" s="3">
        <f>D971*2/60</f>
        <v/>
      </c>
      <c r="F971" s="2" t="inlineStr">
        <is>
          <t>1010</t>
        </is>
      </c>
      <c r="G971" s="2" t="n">
        <v>6</v>
      </c>
      <c r="H971" s="2">
        <f>INDEX(Parametros!$B$2:$B$9,MATCH(G971,Parametros!$A$2:$A$9,0))</f>
        <v/>
      </c>
      <c r="I971" s="4">
        <f>1/(VALUE(MID(F971,1,1))/Parametros!$E$2+VALUE(MID(F971,2,1))/Parametros!$E$3+VALUE(MID(F971,3,1))/Parametros!$E$4+VALUE(MID(F971,4,1))/Parametros!$E$5)</f>
        <v/>
      </c>
      <c r="J971" s="5">
        <f>IF(G971=0,Parametros!$E$8,Parametros!$E$6+Parametros!$E$6*(Parametros!$E$7/G971+I971)/(Parametros!$E$6+Parametros!$E$7/G971+I971))</f>
        <v/>
      </c>
      <c r="K971" s="2" t="inlineStr">
        <is>
          <t>2026-09-29 13:30</t>
        </is>
      </c>
      <c r="L971" s="6" t="inlineStr">
        <is>
          <t>Válido</t>
        </is>
      </c>
      <c r="M971" s="2">
        <f>IF(L971="Válido","Sim","Não")</f>
        <v/>
      </c>
      <c r="N971" s="2" t="inlineStr"/>
    </row>
    <row r="972">
      <c r="A972" s="2" t="inlineStr">
        <is>
          <t>5Bracos_3000_R1010_210W_2026-09-29_13_30.csv</t>
        </is>
      </c>
      <c r="B972" s="2" t="inlineStr">
        <is>
          <t>210W_3000RPM_R1010</t>
        </is>
      </c>
      <c r="C972" s="2" t="n">
        <v>210</v>
      </c>
      <c r="D972" s="2" t="n">
        <v>3000</v>
      </c>
      <c r="E972" s="3">
        <f>D972*2/60</f>
        <v/>
      </c>
      <c r="F972" s="2" t="inlineStr">
        <is>
          <t>1010</t>
        </is>
      </c>
      <c r="G972" s="2" t="n">
        <v>5</v>
      </c>
      <c r="H972" s="2">
        <f>INDEX(Parametros!$B$2:$B$9,MATCH(G972,Parametros!$A$2:$A$9,0))</f>
        <v/>
      </c>
      <c r="I972" s="4">
        <f>1/(VALUE(MID(F972,1,1))/Parametros!$E$2+VALUE(MID(F972,2,1))/Parametros!$E$3+VALUE(MID(F972,3,1))/Parametros!$E$4+VALUE(MID(F972,4,1))/Parametros!$E$5)</f>
        <v/>
      </c>
      <c r="J972" s="5">
        <f>IF(G972=0,Parametros!$E$8,Parametros!$E$6+Parametros!$E$6*(Parametros!$E$7/G972+I972)/(Parametros!$E$6+Parametros!$E$7/G972+I972))</f>
        <v/>
      </c>
      <c r="K972" s="2" t="inlineStr">
        <is>
          <t>2026-09-29 13:30</t>
        </is>
      </c>
      <c r="L972" s="6" t="inlineStr">
        <is>
          <t>Válido</t>
        </is>
      </c>
      <c r="M972" s="2">
        <f>IF(L972="Válido","Sim","Não")</f>
        <v/>
      </c>
      <c r="N972" s="2" t="inlineStr"/>
    </row>
    <row r="973">
      <c r="A973" s="2" t="inlineStr">
        <is>
          <t>4Bracos_3000_R1010_210W_2026-09-29_13_30.csv</t>
        </is>
      </c>
      <c r="B973" s="2" t="inlineStr">
        <is>
          <t>210W_3000RPM_R1010</t>
        </is>
      </c>
      <c r="C973" s="2" t="n">
        <v>210</v>
      </c>
      <c r="D973" s="2" t="n">
        <v>3000</v>
      </c>
      <c r="E973" s="3">
        <f>D973*2/60</f>
        <v/>
      </c>
      <c r="F973" s="2" t="inlineStr">
        <is>
          <t>1010</t>
        </is>
      </c>
      <c r="G973" s="2" t="n">
        <v>4</v>
      </c>
      <c r="H973" s="2">
        <f>INDEX(Parametros!$B$2:$B$9,MATCH(G973,Parametros!$A$2:$A$9,0))</f>
        <v/>
      </c>
      <c r="I973" s="4">
        <f>1/(VALUE(MID(F973,1,1))/Parametros!$E$2+VALUE(MID(F973,2,1))/Parametros!$E$3+VALUE(MID(F973,3,1))/Parametros!$E$4+VALUE(MID(F973,4,1))/Parametros!$E$5)</f>
        <v/>
      </c>
      <c r="J973" s="5">
        <f>IF(G973=0,Parametros!$E$8,Parametros!$E$6+Parametros!$E$6*(Parametros!$E$7/G973+I973)/(Parametros!$E$6+Parametros!$E$7/G973+I973))</f>
        <v/>
      </c>
      <c r="K973" s="2" t="inlineStr">
        <is>
          <t>2026-09-29 13:30</t>
        </is>
      </c>
      <c r="L973" s="6" t="inlineStr">
        <is>
          <t>Válido</t>
        </is>
      </c>
      <c r="M973" s="2">
        <f>IF(L973="Válido","Sim","Não")</f>
        <v/>
      </c>
      <c r="N973" s="2" t="inlineStr"/>
    </row>
    <row r="974">
      <c r="A974" s="2" t="inlineStr">
        <is>
          <t>3Bracos_3000_R1010_210W_2026-09-29_13_30.csv</t>
        </is>
      </c>
      <c r="B974" s="2" t="inlineStr">
        <is>
          <t>210W_3000RPM_R1010</t>
        </is>
      </c>
      <c r="C974" s="2" t="n">
        <v>210</v>
      </c>
      <c r="D974" s="2" t="n">
        <v>3000</v>
      </c>
      <c r="E974" s="3">
        <f>D974*2/60</f>
        <v/>
      </c>
      <c r="F974" s="2" t="inlineStr">
        <is>
          <t>1010</t>
        </is>
      </c>
      <c r="G974" s="2" t="n">
        <v>3</v>
      </c>
      <c r="H974" s="2">
        <f>INDEX(Parametros!$B$2:$B$9,MATCH(G974,Parametros!$A$2:$A$9,0))</f>
        <v/>
      </c>
      <c r="I974" s="4">
        <f>1/(VALUE(MID(F974,1,1))/Parametros!$E$2+VALUE(MID(F974,2,1))/Parametros!$E$3+VALUE(MID(F974,3,1))/Parametros!$E$4+VALUE(MID(F974,4,1))/Parametros!$E$5)</f>
        <v/>
      </c>
      <c r="J974" s="5">
        <f>IF(G974=0,Parametros!$E$8,Parametros!$E$6+Parametros!$E$6*(Parametros!$E$7/G974+I974)/(Parametros!$E$6+Parametros!$E$7/G974+I974))</f>
        <v/>
      </c>
      <c r="K974" s="2" t="inlineStr">
        <is>
          <t>2026-09-29 13:30</t>
        </is>
      </c>
      <c r="L974" s="6" t="inlineStr">
        <is>
          <t>Válido</t>
        </is>
      </c>
      <c r="M974" s="2">
        <f>IF(L974="Válido","Sim","Não")</f>
        <v/>
      </c>
      <c r="N974" s="2" t="inlineStr"/>
    </row>
    <row r="975">
      <c r="A975" s="2" t="inlineStr">
        <is>
          <t>2Bracos_3000_R1010_210W_2026-09-29_13_30.csv</t>
        </is>
      </c>
      <c r="B975" s="2" t="inlineStr">
        <is>
          <t>210W_3000RPM_R1010</t>
        </is>
      </c>
      <c r="C975" s="2" t="n">
        <v>210</v>
      </c>
      <c r="D975" s="2" t="n">
        <v>3000</v>
      </c>
      <c r="E975" s="3">
        <f>D975*2/60</f>
        <v/>
      </c>
      <c r="F975" s="2" t="inlineStr">
        <is>
          <t>1010</t>
        </is>
      </c>
      <c r="G975" s="2" t="n">
        <v>2</v>
      </c>
      <c r="H975" s="2">
        <f>INDEX(Parametros!$B$2:$B$9,MATCH(G975,Parametros!$A$2:$A$9,0))</f>
        <v/>
      </c>
      <c r="I975" s="4">
        <f>1/(VALUE(MID(F975,1,1))/Parametros!$E$2+VALUE(MID(F975,2,1))/Parametros!$E$3+VALUE(MID(F975,3,1))/Parametros!$E$4+VALUE(MID(F975,4,1))/Parametros!$E$5)</f>
        <v/>
      </c>
      <c r="J975" s="5">
        <f>IF(G975=0,Parametros!$E$8,Parametros!$E$6+Parametros!$E$6*(Parametros!$E$7/G975+I975)/(Parametros!$E$6+Parametros!$E$7/G975+I975))</f>
        <v/>
      </c>
      <c r="K975" s="2" t="inlineStr">
        <is>
          <t>2026-09-29 13:30</t>
        </is>
      </c>
      <c r="L975" s="6" t="inlineStr">
        <is>
          <t>Válido</t>
        </is>
      </c>
      <c r="M975" s="2">
        <f>IF(L975="Válido","Sim","Não")</f>
        <v/>
      </c>
      <c r="N975" s="2" t="inlineStr"/>
    </row>
    <row r="976">
      <c r="A976" s="2" t="inlineStr">
        <is>
          <t>1Bracos_3000_R1010_210W_2026-09-29_13_30.csv</t>
        </is>
      </c>
      <c r="B976" s="2" t="inlineStr">
        <is>
          <t>210W_3000RPM_R1010</t>
        </is>
      </c>
      <c r="C976" s="2" t="n">
        <v>210</v>
      </c>
      <c r="D976" s="2" t="n">
        <v>3000</v>
      </c>
      <c r="E976" s="3">
        <f>D976*2/60</f>
        <v/>
      </c>
      <c r="F976" s="2" t="inlineStr">
        <is>
          <t>1010</t>
        </is>
      </c>
      <c r="G976" s="2" t="n">
        <v>1</v>
      </c>
      <c r="H976" s="2">
        <f>INDEX(Parametros!$B$2:$B$9,MATCH(G976,Parametros!$A$2:$A$9,0))</f>
        <v/>
      </c>
      <c r="I976" s="4">
        <f>1/(VALUE(MID(F976,1,1))/Parametros!$E$2+VALUE(MID(F976,2,1))/Parametros!$E$3+VALUE(MID(F976,3,1))/Parametros!$E$4+VALUE(MID(F976,4,1))/Parametros!$E$5)</f>
        <v/>
      </c>
      <c r="J976" s="5">
        <f>IF(G976=0,Parametros!$E$8,Parametros!$E$6+Parametros!$E$6*(Parametros!$E$7/G976+I976)/(Parametros!$E$6+Parametros!$E$7/G976+I976))</f>
        <v/>
      </c>
      <c r="K976" s="2" t="inlineStr">
        <is>
          <t>2026-09-29 13:30</t>
        </is>
      </c>
      <c r="L976" s="6" t="inlineStr">
        <is>
          <t>Válido</t>
        </is>
      </c>
      <c r="M976" s="2">
        <f>IF(L976="Válido","Sim","Não")</f>
        <v/>
      </c>
      <c r="N976" s="2" t="inlineStr"/>
    </row>
    <row r="977">
      <c r="A977" s="2" t="inlineStr">
        <is>
          <t>0Bracos_3000_R1010_210W_2026-09-29_13_30.csv</t>
        </is>
      </c>
      <c r="B977" s="2" t="inlineStr">
        <is>
          <t>210W_3000RPM_R1010</t>
        </is>
      </c>
      <c r="C977" s="2" t="n">
        <v>210</v>
      </c>
      <c r="D977" s="2" t="n">
        <v>3000</v>
      </c>
      <c r="E977" s="3">
        <f>D977*2/60</f>
        <v/>
      </c>
      <c r="F977" s="2" t="inlineStr">
        <is>
          <t>1010</t>
        </is>
      </c>
      <c r="G977" s="2" t="n">
        <v>0</v>
      </c>
      <c r="H977" s="2">
        <f>INDEX(Parametros!$B$2:$B$9,MATCH(G977,Parametros!$A$2:$A$9,0))</f>
        <v/>
      </c>
      <c r="I977" s="4">
        <f>1/(VALUE(MID(F977,1,1))/Parametros!$E$2+VALUE(MID(F977,2,1))/Parametros!$E$3+VALUE(MID(F977,3,1))/Parametros!$E$4+VALUE(MID(F977,4,1))/Parametros!$E$5)</f>
        <v/>
      </c>
      <c r="J977" s="5">
        <f>IF(G977=0,Parametros!$E$8,Parametros!$E$6+Parametros!$E$6*(Parametros!$E$7/G977+I977)/(Parametros!$E$6+Parametros!$E$7/G977+I977))</f>
        <v/>
      </c>
      <c r="K977" s="2" t="inlineStr">
        <is>
          <t>2026-09-29 13:30</t>
        </is>
      </c>
      <c r="L977" s="6" t="inlineStr">
        <is>
          <t>Válido</t>
        </is>
      </c>
      <c r="M977" s="2">
        <f>IF(L977="Válido","Sim","Não")</f>
        <v/>
      </c>
      <c r="N977" s="2" t="inlineStr"/>
    </row>
    <row r="978">
      <c r="A978" s="2" t="inlineStr">
        <is>
          <t>7Bracos_3000_R1011_210W_2026-09-29_13_30.csv</t>
        </is>
      </c>
      <c r="B978" s="2" t="inlineStr">
        <is>
          <t>210W_3000RPM_R1011</t>
        </is>
      </c>
      <c r="C978" s="2" t="n">
        <v>210</v>
      </c>
      <c r="D978" s="2" t="n">
        <v>3000</v>
      </c>
      <c r="E978" s="3">
        <f>D978*2/60</f>
        <v/>
      </c>
      <c r="F978" s="2" t="inlineStr">
        <is>
          <t>1011</t>
        </is>
      </c>
      <c r="G978" s="2" t="n">
        <v>7</v>
      </c>
      <c r="H978" s="2">
        <f>INDEX(Parametros!$B$2:$B$9,MATCH(G978,Parametros!$A$2:$A$9,0))</f>
        <v/>
      </c>
      <c r="I978" s="4">
        <f>1/(VALUE(MID(F978,1,1))/Parametros!$E$2+VALUE(MID(F978,2,1))/Parametros!$E$3+VALUE(MID(F978,3,1))/Parametros!$E$4+VALUE(MID(F978,4,1))/Parametros!$E$5)</f>
        <v/>
      </c>
      <c r="J978" s="5">
        <f>IF(G978=0,Parametros!$E$8,Parametros!$E$6+Parametros!$E$6*(Parametros!$E$7/G978+I978)/(Parametros!$E$6+Parametros!$E$7/G978+I978))</f>
        <v/>
      </c>
      <c r="K978" s="2" t="inlineStr">
        <is>
          <t>2026-09-29 13:30</t>
        </is>
      </c>
      <c r="L978" s="6" t="inlineStr">
        <is>
          <t>Válido</t>
        </is>
      </c>
      <c r="M978" s="2">
        <f>IF(L978="Válido","Sim","Não")</f>
        <v/>
      </c>
      <c r="N978" s="2" t="inlineStr"/>
    </row>
    <row r="979">
      <c r="A979" s="2" t="inlineStr">
        <is>
          <t>6Bracos_3000_R1011_210W_2026-09-29_13_30.csv</t>
        </is>
      </c>
      <c r="B979" s="2" t="inlineStr">
        <is>
          <t>210W_3000RPM_R1011</t>
        </is>
      </c>
      <c r="C979" s="2" t="n">
        <v>210</v>
      </c>
      <c r="D979" s="2" t="n">
        <v>3000</v>
      </c>
      <c r="E979" s="3">
        <f>D979*2/60</f>
        <v/>
      </c>
      <c r="F979" s="2" t="inlineStr">
        <is>
          <t>1011</t>
        </is>
      </c>
      <c r="G979" s="2" t="n">
        <v>6</v>
      </c>
      <c r="H979" s="2">
        <f>INDEX(Parametros!$B$2:$B$9,MATCH(G979,Parametros!$A$2:$A$9,0))</f>
        <v/>
      </c>
      <c r="I979" s="4">
        <f>1/(VALUE(MID(F979,1,1))/Parametros!$E$2+VALUE(MID(F979,2,1))/Parametros!$E$3+VALUE(MID(F979,3,1))/Parametros!$E$4+VALUE(MID(F979,4,1))/Parametros!$E$5)</f>
        <v/>
      </c>
      <c r="J979" s="5">
        <f>IF(G979=0,Parametros!$E$8,Parametros!$E$6+Parametros!$E$6*(Parametros!$E$7/G979+I979)/(Parametros!$E$6+Parametros!$E$7/G979+I979))</f>
        <v/>
      </c>
      <c r="K979" s="2" t="inlineStr">
        <is>
          <t>2026-09-29 13:30</t>
        </is>
      </c>
      <c r="L979" s="6" t="inlineStr">
        <is>
          <t>Válido</t>
        </is>
      </c>
      <c r="M979" s="2">
        <f>IF(L979="Válido","Sim","Não")</f>
        <v/>
      </c>
      <c r="N979" s="2" t="inlineStr"/>
    </row>
    <row r="980">
      <c r="A980" s="2" t="inlineStr">
        <is>
          <t>5Bracos_3000_R1011_210W_2026-09-29_13_30.csv</t>
        </is>
      </c>
      <c r="B980" s="2" t="inlineStr">
        <is>
          <t>210W_3000RPM_R1011</t>
        </is>
      </c>
      <c r="C980" s="2" t="n">
        <v>210</v>
      </c>
      <c r="D980" s="2" t="n">
        <v>3000</v>
      </c>
      <c r="E980" s="3">
        <f>D980*2/60</f>
        <v/>
      </c>
      <c r="F980" s="2" t="inlineStr">
        <is>
          <t>1011</t>
        </is>
      </c>
      <c r="G980" s="2" t="n">
        <v>5</v>
      </c>
      <c r="H980" s="2">
        <f>INDEX(Parametros!$B$2:$B$9,MATCH(G980,Parametros!$A$2:$A$9,0))</f>
        <v/>
      </c>
      <c r="I980" s="4">
        <f>1/(VALUE(MID(F980,1,1))/Parametros!$E$2+VALUE(MID(F980,2,1))/Parametros!$E$3+VALUE(MID(F980,3,1))/Parametros!$E$4+VALUE(MID(F980,4,1))/Parametros!$E$5)</f>
        <v/>
      </c>
      <c r="J980" s="5">
        <f>IF(G980=0,Parametros!$E$8,Parametros!$E$6+Parametros!$E$6*(Parametros!$E$7/G980+I980)/(Parametros!$E$6+Parametros!$E$7/G980+I980))</f>
        <v/>
      </c>
      <c r="K980" s="2" t="inlineStr">
        <is>
          <t>2026-09-29 13:30</t>
        </is>
      </c>
      <c r="L980" s="6" t="inlineStr">
        <is>
          <t>Válido</t>
        </is>
      </c>
      <c r="M980" s="2">
        <f>IF(L980="Válido","Sim","Não")</f>
        <v/>
      </c>
      <c r="N980" s="2" t="inlineStr"/>
    </row>
    <row r="981">
      <c r="A981" s="2" t="inlineStr">
        <is>
          <t>4Bracos_3000_R1011_210W_2026-09-29_13_30.csv</t>
        </is>
      </c>
      <c r="B981" s="2" t="inlineStr">
        <is>
          <t>210W_3000RPM_R1011</t>
        </is>
      </c>
      <c r="C981" s="2" t="n">
        <v>210</v>
      </c>
      <c r="D981" s="2" t="n">
        <v>3000</v>
      </c>
      <c r="E981" s="3">
        <f>D981*2/60</f>
        <v/>
      </c>
      <c r="F981" s="2" t="inlineStr">
        <is>
          <t>1011</t>
        </is>
      </c>
      <c r="G981" s="2" t="n">
        <v>4</v>
      </c>
      <c r="H981" s="2">
        <f>INDEX(Parametros!$B$2:$B$9,MATCH(G981,Parametros!$A$2:$A$9,0))</f>
        <v/>
      </c>
      <c r="I981" s="4">
        <f>1/(VALUE(MID(F981,1,1))/Parametros!$E$2+VALUE(MID(F981,2,1))/Parametros!$E$3+VALUE(MID(F981,3,1))/Parametros!$E$4+VALUE(MID(F981,4,1))/Parametros!$E$5)</f>
        <v/>
      </c>
      <c r="J981" s="5">
        <f>IF(G981=0,Parametros!$E$8,Parametros!$E$6+Parametros!$E$6*(Parametros!$E$7/G981+I981)/(Parametros!$E$6+Parametros!$E$7/G981+I981))</f>
        <v/>
      </c>
      <c r="K981" s="2" t="inlineStr">
        <is>
          <t>2026-09-29 13:30</t>
        </is>
      </c>
      <c r="L981" s="6" t="inlineStr">
        <is>
          <t>Válido</t>
        </is>
      </c>
      <c r="M981" s="2">
        <f>IF(L981="Válido","Sim","Não")</f>
        <v/>
      </c>
      <c r="N981" s="2" t="inlineStr"/>
    </row>
    <row r="982">
      <c r="A982" s="2" t="inlineStr">
        <is>
          <t>3Bracos_3000_R1011_210W_2026-09-29_13_30.csv</t>
        </is>
      </c>
      <c r="B982" s="2" t="inlineStr">
        <is>
          <t>210W_3000RPM_R1011</t>
        </is>
      </c>
      <c r="C982" s="2" t="n">
        <v>210</v>
      </c>
      <c r="D982" s="2" t="n">
        <v>3000</v>
      </c>
      <c r="E982" s="3">
        <f>D982*2/60</f>
        <v/>
      </c>
      <c r="F982" s="2" t="inlineStr">
        <is>
          <t>1011</t>
        </is>
      </c>
      <c r="G982" s="2" t="n">
        <v>3</v>
      </c>
      <c r="H982" s="2">
        <f>INDEX(Parametros!$B$2:$B$9,MATCH(G982,Parametros!$A$2:$A$9,0))</f>
        <v/>
      </c>
      <c r="I982" s="4">
        <f>1/(VALUE(MID(F982,1,1))/Parametros!$E$2+VALUE(MID(F982,2,1))/Parametros!$E$3+VALUE(MID(F982,3,1))/Parametros!$E$4+VALUE(MID(F982,4,1))/Parametros!$E$5)</f>
        <v/>
      </c>
      <c r="J982" s="5">
        <f>IF(G982=0,Parametros!$E$8,Parametros!$E$6+Parametros!$E$6*(Parametros!$E$7/G982+I982)/(Parametros!$E$6+Parametros!$E$7/G982+I982))</f>
        <v/>
      </c>
      <c r="K982" s="2" t="inlineStr">
        <is>
          <t>2026-09-29 13:30</t>
        </is>
      </c>
      <c r="L982" s="6" t="inlineStr">
        <is>
          <t>Válido</t>
        </is>
      </c>
      <c r="M982" s="2">
        <f>IF(L982="Válido","Sim","Não")</f>
        <v/>
      </c>
      <c r="N982" s="2" t="inlineStr"/>
    </row>
    <row r="983">
      <c r="A983" s="2" t="inlineStr">
        <is>
          <t>2Bracos_3000_R1011_210W_2026-09-29_13_30.csv</t>
        </is>
      </c>
      <c r="B983" s="2" t="inlineStr">
        <is>
          <t>210W_3000RPM_R1011</t>
        </is>
      </c>
      <c r="C983" s="2" t="n">
        <v>210</v>
      </c>
      <c r="D983" s="2" t="n">
        <v>3000</v>
      </c>
      <c r="E983" s="3">
        <f>D983*2/60</f>
        <v/>
      </c>
      <c r="F983" s="2" t="inlineStr">
        <is>
          <t>1011</t>
        </is>
      </c>
      <c r="G983" s="2" t="n">
        <v>2</v>
      </c>
      <c r="H983" s="2">
        <f>INDEX(Parametros!$B$2:$B$9,MATCH(G983,Parametros!$A$2:$A$9,0))</f>
        <v/>
      </c>
      <c r="I983" s="4">
        <f>1/(VALUE(MID(F983,1,1))/Parametros!$E$2+VALUE(MID(F983,2,1))/Parametros!$E$3+VALUE(MID(F983,3,1))/Parametros!$E$4+VALUE(MID(F983,4,1))/Parametros!$E$5)</f>
        <v/>
      </c>
      <c r="J983" s="5">
        <f>IF(G983=0,Parametros!$E$8,Parametros!$E$6+Parametros!$E$6*(Parametros!$E$7/G983+I983)/(Parametros!$E$6+Parametros!$E$7/G983+I983))</f>
        <v/>
      </c>
      <c r="K983" s="2" t="inlineStr">
        <is>
          <t>2026-09-29 13:30</t>
        </is>
      </c>
      <c r="L983" s="6" t="inlineStr">
        <is>
          <t>Válido</t>
        </is>
      </c>
      <c r="M983" s="2">
        <f>IF(L983="Válido","Sim","Não")</f>
        <v/>
      </c>
      <c r="N983" s="2" t="inlineStr"/>
    </row>
    <row r="984">
      <c r="A984" s="2" t="inlineStr">
        <is>
          <t>1Bracos_3000_R1011_210W_2026-09-29_13_30.csv</t>
        </is>
      </c>
      <c r="B984" s="2" t="inlineStr">
        <is>
          <t>210W_3000RPM_R1011</t>
        </is>
      </c>
      <c r="C984" s="2" t="n">
        <v>210</v>
      </c>
      <c r="D984" s="2" t="n">
        <v>3000</v>
      </c>
      <c r="E984" s="3">
        <f>D984*2/60</f>
        <v/>
      </c>
      <c r="F984" s="2" t="inlineStr">
        <is>
          <t>1011</t>
        </is>
      </c>
      <c r="G984" s="2" t="n">
        <v>1</v>
      </c>
      <c r="H984" s="2">
        <f>INDEX(Parametros!$B$2:$B$9,MATCH(G984,Parametros!$A$2:$A$9,0))</f>
        <v/>
      </c>
      <c r="I984" s="4">
        <f>1/(VALUE(MID(F984,1,1))/Parametros!$E$2+VALUE(MID(F984,2,1))/Parametros!$E$3+VALUE(MID(F984,3,1))/Parametros!$E$4+VALUE(MID(F984,4,1))/Parametros!$E$5)</f>
        <v/>
      </c>
      <c r="J984" s="5">
        <f>IF(G984=0,Parametros!$E$8,Parametros!$E$6+Parametros!$E$6*(Parametros!$E$7/G984+I984)/(Parametros!$E$6+Parametros!$E$7/G984+I984))</f>
        <v/>
      </c>
      <c r="K984" s="2" t="inlineStr">
        <is>
          <t>2026-09-29 13:30</t>
        </is>
      </c>
      <c r="L984" s="6" t="inlineStr">
        <is>
          <t>Válido</t>
        </is>
      </c>
      <c r="M984" s="2">
        <f>IF(L984="Válido","Sim","Não")</f>
        <v/>
      </c>
      <c r="N984" s="2" t="inlineStr"/>
    </row>
    <row r="985">
      <c r="A985" s="2" t="inlineStr">
        <is>
          <t>0Bracos_3000_R1011_210W_2026-09-29_13_30.csv</t>
        </is>
      </c>
      <c r="B985" s="2" t="inlineStr">
        <is>
          <t>210W_3000RPM_R1011</t>
        </is>
      </c>
      <c r="C985" s="2" t="n">
        <v>210</v>
      </c>
      <c r="D985" s="2" t="n">
        <v>3000</v>
      </c>
      <c r="E985" s="3">
        <f>D985*2/60</f>
        <v/>
      </c>
      <c r="F985" s="2" t="inlineStr">
        <is>
          <t>1011</t>
        </is>
      </c>
      <c r="G985" s="2" t="n">
        <v>0</v>
      </c>
      <c r="H985" s="2">
        <f>INDEX(Parametros!$B$2:$B$9,MATCH(G985,Parametros!$A$2:$A$9,0))</f>
        <v/>
      </c>
      <c r="I985" s="4">
        <f>1/(VALUE(MID(F985,1,1))/Parametros!$E$2+VALUE(MID(F985,2,1))/Parametros!$E$3+VALUE(MID(F985,3,1))/Parametros!$E$4+VALUE(MID(F985,4,1))/Parametros!$E$5)</f>
        <v/>
      </c>
      <c r="J985" s="5">
        <f>IF(G985=0,Parametros!$E$8,Parametros!$E$6+Parametros!$E$6*(Parametros!$E$7/G985+I985)/(Parametros!$E$6+Parametros!$E$7/G985+I985))</f>
        <v/>
      </c>
      <c r="K985" s="2" t="inlineStr">
        <is>
          <t>2026-09-29 13:30</t>
        </is>
      </c>
      <c r="L985" s="6" t="inlineStr">
        <is>
          <t>Válido</t>
        </is>
      </c>
      <c r="M985" s="2">
        <f>IF(L985="Válido","Sim","Não")</f>
        <v/>
      </c>
      <c r="N985" s="2" t="inlineStr"/>
    </row>
    <row r="986">
      <c r="A986" s="2" t="inlineStr">
        <is>
          <t>7Bracos_3000_R1100_210W_2026-09-29_13_30.csv</t>
        </is>
      </c>
      <c r="B986" s="2" t="inlineStr">
        <is>
          <t>210W_3000RPM_R1100</t>
        </is>
      </c>
      <c r="C986" s="2" t="n">
        <v>210</v>
      </c>
      <c r="D986" s="2" t="n">
        <v>3000</v>
      </c>
      <c r="E986" s="3">
        <f>D986*2/60</f>
        <v/>
      </c>
      <c r="F986" s="2" t="inlineStr">
        <is>
          <t>1100</t>
        </is>
      </c>
      <c r="G986" s="2" t="n">
        <v>7</v>
      </c>
      <c r="H986" s="2">
        <f>INDEX(Parametros!$B$2:$B$9,MATCH(G986,Parametros!$A$2:$A$9,0))</f>
        <v/>
      </c>
      <c r="I986" s="4">
        <f>1/(VALUE(MID(F986,1,1))/Parametros!$E$2+VALUE(MID(F986,2,1))/Parametros!$E$3+VALUE(MID(F986,3,1))/Parametros!$E$4+VALUE(MID(F986,4,1))/Parametros!$E$5)</f>
        <v/>
      </c>
      <c r="J986" s="5">
        <f>IF(G986=0,Parametros!$E$8,Parametros!$E$6+Parametros!$E$6*(Parametros!$E$7/G986+I986)/(Parametros!$E$6+Parametros!$E$7/G986+I986))</f>
        <v/>
      </c>
      <c r="K986" s="2" t="inlineStr">
        <is>
          <t>2026-09-29 13:30</t>
        </is>
      </c>
      <c r="L986" s="6" t="inlineStr">
        <is>
          <t>Válido</t>
        </is>
      </c>
      <c r="M986" s="2">
        <f>IF(L986="Válido","Sim","Não")</f>
        <v/>
      </c>
      <c r="N986" s="2" t="inlineStr"/>
    </row>
    <row r="987">
      <c r="A987" s="2" t="inlineStr">
        <is>
          <t>6Bracos_3000_R1100_210W_2026-09-29_13_30.csv</t>
        </is>
      </c>
      <c r="B987" s="2" t="inlineStr">
        <is>
          <t>210W_3000RPM_R1100</t>
        </is>
      </c>
      <c r="C987" s="2" t="n">
        <v>210</v>
      </c>
      <c r="D987" s="2" t="n">
        <v>3000</v>
      </c>
      <c r="E987" s="3">
        <f>D987*2/60</f>
        <v/>
      </c>
      <c r="F987" s="2" t="inlineStr">
        <is>
          <t>1100</t>
        </is>
      </c>
      <c r="G987" s="2" t="n">
        <v>6</v>
      </c>
      <c r="H987" s="2">
        <f>INDEX(Parametros!$B$2:$B$9,MATCH(G987,Parametros!$A$2:$A$9,0))</f>
        <v/>
      </c>
      <c r="I987" s="4">
        <f>1/(VALUE(MID(F987,1,1))/Parametros!$E$2+VALUE(MID(F987,2,1))/Parametros!$E$3+VALUE(MID(F987,3,1))/Parametros!$E$4+VALUE(MID(F987,4,1))/Parametros!$E$5)</f>
        <v/>
      </c>
      <c r="J987" s="5">
        <f>IF(G987=0,Parametros!$E$8,Parametros!$E$6+Parametros!$E$6*(Parametros!$E$7/G987+I987)/(Parametros!$E$6+Parametros!$E$7/G987+I987))</f>
        <v/>
      </c>
      <c r="K987" s="2" t="inlineStr">
        <is>
          <t>2026-09-29 13:30</t>
        </is>
      </c>
      <c r="L987" s="6" t="inlineStr">
        <is>
          <t>Válido</t>
        </is>
      </c>
      <c r="M987" s="2">
        <f>IF(L987="Válido","Sim","Não")</f>
        <v/>
      </c>
      <c r="N987" s="2" t="inlineStr"/>
    </row>
    <row r="988">
      <c r="A988" s="2" t="inlineStr">
        <is>
          <t>5Bracos_3000_R1100_210W_2026-09-29_13_30.csv</t>
        </is>
      </c>
      <c r="B988" s="2" t="inlineStr">
        <is>
          <t>210W_3000RPM_R1100</t>
        </is>
      </c>
      <c r="C988" s="2" t="n">
        <v>210</v>
      </c>
      <c r="D988" s="2" t="n">
        <v>3000</v>
      </c>
      <c r="E988" s="3">
        <f>D988*2/60</f>
        <v/>
      </c>
      <c r="F988" s="2" t="inlineStr">
        <is>
          <t>1100</t>
        </is>
      </c>
      <c r="G988" s="2" t="n">
        <v>5</v>
      </c>
      <c r="H988" s="2">
        <f>INDEX(Parametros!$B$2:$B$9,MATCH(G988,Parametros!$A$2:$A$9,0))</f>
        <v/>
      </c>
      <c r="I988" s="4">
        <f>1/(VALUE(MID(F988,1,1))/Parametros!$E$2+VALUE(MID(F988,2,1))/Parametros!$E$3+VALUE(MID(F988,3,1))/Parametros!$E$4+VALUE(MID(F988,4,1))/Parametros!$E$5)</f>
        <v/>
      </c>
      <c r="J988" s="5">
        <f>IF(G988=0,Parametros!$E$8,Parametros!$E$6+Parametros!$E$6*(Parametros!$E$7/G988+I988)/(Parametros!$E$6+Parametros!$E$7/G988+I988))</f>
        <v/>
      </c>
      <c r="K988" s="2" t="inlineStr">
        <is>
          <t>2026-09-29 13:30</t>
        </is>
      </c>
      <c r="L988" s="6" t="inlineStr">
        <is>
          <t>Válido</t>
        </is>
      </c>
      <c r="M988" s="2">
        <f>IF(L988="Válido","Sim","Não")</f>
        <v/>
      </c>
      <c r="N988" s="2" t="inlineStr"/>
    </row>
    <row r="989">
      <c r="A989" s="2" t="inlineStr">
        <is>
          <t>4Bracos_3000_R1100_210W_2026-09-29_13_30.csv</t>
        </is>
      </c>
      <c r="B989" s="2" t="inlineStr">
        <is>
          <t>210W_3000RPM_R1100</t>
        </is>
      </c>
      <c r="C989" s="2" t="n">
        <v>210</v>
      </c>
      <c r="D989" s="2" t="n">
        <v>3000</v>
      </c>
      <c r="E989" s="3">
        <f>D989*2/60</f>
        <v/>
      </c>
      <c r="F989" s="2" t="inlineStr">
        <is>
          <t>1100</t>
        </is>
      </c>
      <c r="G989" s="2" t="n">
        <v>4</v>
      </c>
      <c r="H989" s="2">
        <f>INDEX(Parametros!$B$2:$B$9,MATCH(G989,Parametros!$A$2:$A$9,0))</f>
        <v/>
      </c>
      <c r="I989" s="4">
        <f>1/(VALUE(MID(F989,1,1))/Parametros!$E$2+VALUE(MID(F989,2,1))/Parametros!$E$3+VALUE(MID(F989,3,1))/Parametros!$E$4+VALUE(MID(F989,4,1))/Parametros!$E$5)</f>
        <v/>
      </c>
      <c r="J989" s="5">
        <f>IF(G989=0,Parametros!$E$8,Parametros!$E$6+Parametros!$E$6*(Parametros!$E$7/G989+I989)/(Parametros!$E$6+Parametros!$E$7/G989+I989))</f>
        <v/>
      </c>
      <c r="K989" s="2" t="inlineStr">
        <is>
          <t>2026-09-29 13:30</t>
        </is>
      </c>
      <c r="L989" s="6" t="inlineStr">
        <is>
          <t>Válido</t>
        </is>
      </c>
      <c r="M989" s="2">
        <f>IF(L989="Válido","Sim","Não")</f>
        <v/>
      </c>
      <c r="N989" s="2" t="inlineStr"/>
    </row>
    <row r="990">
      <c r="A990" s="2" t="inlineStr">
        <is>
          <t>3Bracos_3000_R1100_210W_2026-09-29_13_30.csv</t>
        </is>
      </c>
      <c r="B990" s="2" t="inlineStr">
        <is>
          <t>210W_3000RPM_R1100</t>
        </is>
      </c>
      <c r="C990" s="2" t="n">
        <v>210</v>
      </c>
      <c r="D990" s="2" t="n">
        <v>3000</v>
      </c>
      <c r="E990" s="3">
        <f>D990*2/60</f>
        <v/>
      </c>
      <c r="F990" s="2" t="inlineStr">
        <is>
          <t>1100</t>
        </is>
      </c>
      <c r="G990" s="2" t="n">
        <v>3</v>
      </c>
      <c r="H990" s="2">
        <f>INDEX(Parametros!$B$2:$B$9,MATCH(G990,Parametros!$A$2:$A$9,0))</f>
        <v/>
      </c>
      <c r="I990" s="4">
        <f>1/(VALUE(MID(F990,1,1))/Parametros!$E$2+VALUE(MID(F990,2,1))/Parametros!$E$3+VALUE(MID(F990,3,1))/Parametros!$E$4+VALUE(MID(F990,4,1))/Parametros!$E$5)</f>
        <v/>
      </c>
      <c r="J990" s="5">
        <f>IF(G990=0,Parametros!$E$8,Parametros!$E$6+Parametros!$E$6*(Parametros!$E$7/G990+I990)/(Parametros!$E$6+Parametros!$E$7/G990+I990))</f>
        <v/>
      </c>
      <c r="K990" s="2" t="inlineStr">
        <is>
          <t>2026-09-29 13:30</t>
        </is>
      </c>
      <c r="L990" s="6" t="inlineStr">
        <is>
          <t>Válido</t>
        </is>
      </c>
      <c r="M990" s="2">
        <f>IF(L990="Válido","Sim","Não")</f>
        <v/>
      </c>
      <c r="N990" s="2" t="inlineStr"/>
    </row>
    <row r="991">
      <c r="A991" s="2" t="inlineStr">
        <is>
          <t>2Bracos_3000_R1100_210W_2026-09-29_13_30.csv</t>
        </is>
      </c>
      <c r="B991" s="2" t="inlineStr">
        <is>
          <t>210W_3000RPM_R1100</t>
        </is>
      </c>
      <c r="C991" s="2" t="n">
        <v>210</v>
      </c>
      <c r="D991" s="2" t="n">
        <v>3000</v>
      </c>
      <c r="E991" s="3">
        <f>D991*2/60</f>
        <v/>
      </c>
      <c r="F991" s="2" t="inlineStr">
        <is>
          <t>1100</t>
        </is>
      </c>
      <c r="G991" s="2" t="n">
        <v>2</v>
      </c>
      <c r="H991" s="2">
        <f>INDEX(Parametros!$B$2:$B$9,MATCH(G991,Parametros!$A$2:$A$9,0))</f>
        <v/>
      </c>
      <c r="I991" s="4">
        <f>1/(VALUE(MID(F991,1,1))/Parametros!$E$2+VALUE(MID(F991,2,1))/Parametros!$E$3+VALUE(MID(F991,3,1))/Parametros!$E$4+VALUE(MID(F991,4,1))/Parametros!$E$5)</f>
        <v/>
      </c>
      <c r="J991" s="5">
        <f>IF(G991=0,Parametros!$E$8,Parametros!$E$6+Parametros!$E$6*(Parametros!$E$7/G991+I991)/(Parametros!$E$6+Parametros!$E$7/G991+I991))</f>
        <v/>
      </c>
      <c r="K991" s="2" t="inlineStr">
        <is>
          <t>2026-09-29 13:30</t>
        </is>
      </c>
      <c r="L991" s="6" t="inlineStr">
        <is>
          <t>Válido</t>
        </is>
      </c>
      <c r="M991" s="2">
        <f>IF(L991="Válido","Sim","Não")</f>
        <v/>
      </c>
      <c r="N991" s="2" t="inlineStr"/>
    </row>
    <row r="992">
      <c r="A992" s="2" t="inlineStr">
        <is>
          <t>1Bracos_3000_R1100_210W_2026-09-29_13_30.csv</t>
        </is>
      </c>
      <c r="B992" s="2" t="inlineStr">
        <is>
          <t>210W_3000RPM_R1100</t>
        </is>
      </c>
      <c r="C992" s="2" t="n">
        <v>210</v>
      </c>
      <c r="D992" s="2" t="n">
        <v>3000</v>
      </c>
      <c r="E992" s="3">
        <f>D992*2/60</f>
        <v/>
      </c>
      <c r="F992" s="2" t="inlineStr">
        <is>
          <t>1100</t>
        </is>
      </c>
      <c r="G992" s="2" t="n">
        <v>1</v>
      </c>
      <c r="H992" s="2">
        <f>INDEX(Parametros!$B$2:$B$9,MATCH(G992,Parametros!$A$2:$A$9,0))</f>
        <v/>
      </c>
      <c r="I992" s="4">
        <f>1/(VALUE(MID(F992,1,1))/Parametros!$E$2+VALUE(MID(F992,2,1))/Parametros!$E$3+VALUE(MID(F992,3,1))/Parametros!$E$4+VALUE(MID(F992,4,1))/Parametros!$E$5)</f>
        <v/>
      </c>
      <c r="J992" s="5">
        <f>IF(G992=0,Parametros!$E$8,Parametros!$E$6+Parametros!$E$6*(Parametros!$E$7/G992+I992)/(Parametros!$E$6+Parametros!$E$7/G992+I992))</f>
        <v/>
      </c>
      <c r="K992" s="2" t="inlineStr">
        <is>
          <t>2026-09-29 13:30</t>
        </is>
      </c>
      <c r="L992" s="6" t="inlineStr">
        <is>
          <t>Válido</t>
        </is>
      </c>
      <c r="M992" s="2">
        <f>IF(L992="Válido","Sim","Não")</f>
        <v/>
      </c>
      <c r="N992" s="2" t="inlineStr"/>
    </row>
    <row r="993">
      <c r="A993" s="2" t="inlineStr">
        <is>
          <t>0Bracos_3000_R1100_210W_2026-09-29_13_30.csv</t>
        </is>
      </c>
      <c r="B993" s="2" t="inlineStr">
        <is>
          <t>210W_3000RPM_R1100</t>
        </is>
      </c>
      <c r="C993" s="2" t="n">
        <v>210</v>
      </c>
      <c r="D993" s="2" t="n">
        <v>3000</v>
      </c>
      <c r="E993" s="3">
        <f>D993*2/60</f>
        <v/>
      </c>
      <c r="F993" s="2" t="inlineStr">
        <is>
          <t>1100</t>
        </is>
      </c>
      <c r="G993" s="2" t="n">
        <v>0</v>
      </c>
      <c r="H993" s="2">
        <f>INDEX(Parametros!$B$2:$B$9,MATCH(G993,Parametros!$A$2:$A$9,0))</f>
        <v/>
      </c>
      <c r="I993" s="4">
        <f>1/(VALUE(MID(F993,1,1))/Parametros!$E$2+VALUE(MID(F993,2,1))/Parametros!$E$3+VALUE(MID(F993,3,1))/Parametros!$E$4+VALUE(MID(F993,4,1))/Parametros!$E$5)</f>
        <v/>
      </c>
      <c r="J993" s="5">
        <f>IF(G993=0,Parametros!$E$8,Parametros!$E$6+Parametros!$E$6*(Parametros!$E$7/G993+I993)/(Parametros!$E$6+Parametros!$E$7/G993+I993))</f>
        <v/>
      </c>
      <c r="K993" s="2" t="inlineStr">
        <is>
          <t>2026-09-29 13:30</t>
        </is>
      </c>
      <c r="L993" s="6" t="inlineStr">
        <is>
          <t>Válido</t>
        </is>
      </c>
      <c r="M993" s="2">
        <f>IF(L993="Válido","Sim","Não")</f>
        <v/>
      </c>
      <c r="N993" s="2" t="inlineStr"/>
    </row>
    <row r="994">
      <c r="A994" s="2" t="inlineStr">
        <is>
          <t>7Bracos_3000_R1101_210W_2026-09-29_13_30.csv</t>
        </is>
      </c>
      <c r="B994" s="2" t="inlineStr">
        <is>
          <t>210W_3000RPM_R1101</t>
        </is>
      </c>
      <c r="C994" s="2" t="n">
        <v>210</v>
      </c>
      <c r="D994" s="2" t="n">
        <v>3000</v>
      </c>
      <c r="E994" s="3">
        <f>D994*2/60</f>
        <v/>
      </c>
      <c r="F994" s="2" t="inlineStr">
        <is>
          <t>1101</t>
        </is>
      </c>
      <c r="G994" s="2" t="n">
        <v>7</v>
      </c>
      <c r="H994" s="2">
        <f>INDEX(Parametros!$B$2:$B$9,MATCH(G994,Parametros!$A$2:$A$9,0))</f>
        <v/>
      </c>
      <c r="I994" s="4">
        <f>1/(VALUE(MID(F994,1,1))/Parametros!$E$2+VALUE(MID(F994,2,1))/Parametros!$E$3+VALUE(MID(F994,3,1))/Parametros!$E$4+VALUE(MID(F994,4,1))/Parametros!$E$5)</f>
        <v/>
      </c>
      <c r="J994" s="5">
        <f>IF(G994=0,Parametros!$E$8,Parametros!$E$6+Parametros!$E$6*(Parametros!$E$7/G994+I994)/(Parametros!$E$6+Parametros!$E$7/G994+I994))</f>
        <v/>
      </c>
      <c r="K994" s="2" t="inlineStr">
        <is>
          <t>2026-09-29 13:30</t>
        </is>
      </c>
      <c r="L994" s="6" t="inlineStr">
        <is>
          <t>Válido</t>
        </is>
      </c>
      <c r="M994" s="2">
        <f>IF(L994="Válido","Sim","Não")</f>
        <v/>
      </c>
      <c r="N994" s="2" t="inlineStr"/>
    </row>
    <row r="995">
      <c r="A995" s="2" t="inlineStr">
        <is>
          <t>6Bracos_3000_R1101_210W_2026-09-29_13_30.csv</t>
        </is>
      </c>
      <c r="B995" s="2" t="inlineStr">
        <is>
          <t>210W_3000RPM_R1101</t>
        </is>
      </c>
      <c r="C995" s="2" t="n">
        <v>210</v>
      </c>
      <c r="D995" s="2" t="n">
        <v>3000</v>
      </c>
      <c r="E995" s="3">
        <f>D995*2/60</f>
        <v/>
      </c>
      <c r="F995" s="2" t="inlineStr">
        <is>
          <t>1101</t>
        </is>
      </c>
      <c r="G995" s="2" t="n">
        <v>6</v>
      </c>
      <c r="H995" s="2">
        <f>INDEX(Parametros!$B$2:$B$9,MATCH(G995,Parametros!$A$2:$A$9,0))</f>
        <v/>
      </c>
      <c r="I995" s="4">
        <f>1/(VALUE(MID(F995,1,1))/Parametros!$E$2+VALUE(MID(F995,2,1))/Parametros!$E$3+VALUE(MID(F995,3,1))/Parametros!$E$4+VALUE(MID(F995,4,1))/Parametros!$E$5)</f>
        <v/>
      </c>
      <c r="J995" s="5">
        <f>IF(G995=0,Parametros!$E$8,Parametros!$E$6+Parametros!$E$6*(Parametros!$E$7/G995+I995)/(Parametros!$E$6+Parametros!$E$7/G995+I995))</f>
        <v/>
      </c>
      <c r="K995" s="2" t="inlineStr">
        <is>
          <t>2026-09-29 13:30</t>
        </is>
      </c>
      <c r="L995" s="6" t="inlineStr">
        <is>
          <t>Válido</t>
        </is>
      </c>
      <c r="M995" s="2">
        <f>IF(L995="Válido","Sim","Não")</f>
        <v/>
      </c>
      <c r="N995" s="2" t="inlineStr"/>
    </row>
    <row r="996">
      <c r="A996" s="2" t="inlineStr">
        <is>
          <t>5Bracos_3000_R1101_210W_2026-09-29_13_30.csv</t>
        </is>
      </c>
      <c r="B996" s="2" t="inlineStr">
        <is>
          <t>210W_3000RPM_R1101</t>
        </is>
      </c>
      <c r="C996" s="2" t="n">
        <v>210</v>
      </c>
      <c r="D996" s="2" t="n">
        <v>3000</v>
      </c>
      <c r="E996" s="3">
        <f>D996*2/60</f>
        <v/>
      </c>
      <c r="F996" s="2" t="inlineStr">
        <is>
          <t>1101</t>
        </is>
      </c>
      <c r="G996" s="2" t="n">
        <v>5</v>
      </c>
      <c r="H996" s="2">
        <f>INDEX(Parametros!$B$2:$B$9,MATCH(G996,Parametros!$A$2:$A$9,0))</f>
        <v/>
      </c>
      <c r="I996" s="4">
        <f>1/(VALUE(MID(F996,1,1))/Parametros!$E$2+VALUE(MID(F996,2,1))/Parametros!$E$3+VALUE(MID(F996,3,1))/Parametros!$E$4+VALUE(MID(F996,4,1))/Parametros!$E$5)</f>
        <v/>
      </c>
      <c r="J996" s="5">
        <f>IF(G996=0,Parametros!$E$8,Parametros!$E$6+Parametros!$E$6*(Parametros!$E$7/G996+I996)/(Parametros!$E$6+Parametros!$E$7/G996+I996))</f>
        <v/>
      </c>
      <c r="K996" s="2" t="inlineStr">
        <is>
          <t>2026-09-29 13:30</t>
        </is>
      </c>
      <c r="L996" s="6" t="inlineStr">
        <is>
          <t>Válido</t>
        </is>
      </c>
      <c r="M996" s="2">
        <f>IF(L996="Válido","Sim","Não")</f>
        <v/>
      </c>
      <c r="N996" s="2" t="inlineStr"/>
    </row>
    <row r="997">
      <c r="A997" s="2" t="inlineStr">
        <is>
          <t>4Bracos_3000_R1101_210W_2026-09-29_13_30.csv</t>
        </is>
      </c>
      <c r="B997" s="2" t="inlineStr">
        <is>
          <t>210W_3000RPM_R1101</t>
        </is>
      </c>
      <c r="C997" s="2" t="n">
        <v>210</v>
      </c>
      <c r="D997" s="2" t="n">
        <v>3000</v>
      </c>
      <c r="E997" s="3">
        <f>D997*2/60</f>
        <v/>
      </c>
      <c r="F997" s="2" t="inlineStr">
        <is>
          <t>1101</t>
        </is>
      </c>
      <c r="G997" s="2" t="n">
        <v>4</v>
      </c>
      <c r="H997" s="2">
        <f>INDEX(Parametros!$B$2:$B$9,MATCH(G997,Parametros!$A$2:$A$9,0))</f>
        <v/>
      </c>
      <c r="I997" s="4">
        <f>1/(VALUE(MID(F997,1,1))/Parametros!$E$2+VALUE(MID(F997,2,1))/Parametros!$E$3+VALUE(MID(F997,3,1))/Parametros!$E$4+VALUE(MID(F997,4,1))/Parametros!$E$5)</f>
        <v/>
      </c>
      <c r="J997" s="5">
        <f>IF(G997=0,Parametros!$E$8,Parametros!$E$6+Parametros!$E$6*(Parametros!$E$7/G997+I997)/(Parametros!$E$6+Parametros!$E$7/G997+I997))</f>
        <v/>
      </c>
      <c r="K997" s="2" t="inlineStr">
        <is>
          <t>2026-09-29 13:30</t>
        </is>
      </c>
      <c r="L997" s="6" t="inlineStr">
        <is>
          <t>Válido</t>
        </is>
      </c>
      <c r="M997" s="2">
        <f>IF(L997="Válido","Sim","Não")</f>
        <v/>
      </c>
      <c r="N997" s="2" t="inlineStr"/>
    </row>
    <row r="998">
      <c r="A998" s="2" t="inlineStr">
        <is>
          <t>3Bracos_3000_R1101_210W_2026-09-29_13_30.csv</t>
        </is>
      </c>
      <c r="B998" s="2" t="inlineStr">
        <is>
          <t>210W_3000RPM_R1101</t>
        </is>
      </c>
      <c r="C998" s="2" t="n">
        <v>210</v>
      </c>
      <c r="D998" s="2" t="n">
        <v>3000</v>
      </c>
      <c r="E998" s="3">
        <f>D998*2/60</f>
        <v/>
      </c>
      <c r="F998" s="2" t="inlineStr">
        <is>
          <t>1101</t>
        </is>
      </c>
      <c r="G998" s="2" t="n">
        <v>3</v>
      </c>
      <c r="H998" s="2">
        <f>INDEX(Parametros!$B$2:$B$9,MATCH(G998,Parametros!$A$2:$A$9,0))</f>
        <v/>
      </c>
      <c r="I998" s="4">
        <f>1/(VALUE(MID(F998,1,1))/Parametros!$E$2+VALUE(MID(F998,2,1))/Parametros!$E$3+VALUE(MID(F998,3,1))/Parametros!$E$4+VALUE(MID(F998,4,1))/Parametros!$E$5)</f>
        <v/>
      </c>
      <c r="J998" s="5">
        <f>IF(G998=0,Parametros!$E$8,Parametros!$E$6+Parametros!$E$6*(Parametros!$E$7/G998+I998)/(Parametros!$E$6+Parametros!$E$7/G998+I998))</f>
        <v/>
      </c>
      <c r="K998" s="2" t="inlineStr">
        <is>
          <t>2026-09-29 13:30</t>
        </is>
      </c>
      <c r="L998" s="6" t="inlineStr">
        <is>
          <t>Válido</t>
        </is>
      </c>
      <c r="M998" s="2">
        <f>IF(L998="Válido","Sim","Não")</f>
        <v/>
      </c>
      <c r="N998" s="2" t="inlineStr"/>
    </row>
    <row r="999">
      <c r="A999" s="2" t="inlineStr">
        <is>
          <t>2Bracos_3000_R1101_210W_2026-09-29_13_30.csv</t>
        </is>
      </c>
      <c r="B999" s="2" t="inlineStr">
        <is>
          <t>210W_3000RPM_R1101</t>
        </is>
      </c>
      <c r="C999" s="2" t="n">
        <v>210</v>
      </c>
      <c r="D999" s="2" t="n">
        <v>3000</v>
      </c>
      <c r="E999" s="3">
        <f>D999*2/60</f>
        <v/>
      </c>
      <c r="F999" s="2" t="inlineStr">
        <is>
          <t>1101</t>
        </is>
      </c>
      <c r="G999" s="2" t="n">
        <v>2</v>
      </c>
      <c r="H999" s="2">
        <f>INDEX(Parametros!$B$2:$B$9,MATCH(G999,Parametros!$A$2:$A$9,0))</f>
        <v/>
      </c>
      <c r="I999" s="4">
        <f>1/(VALUE(MID(F999,1,1))/Parametros!$E$2+VALUE(MID(F999,2,1))/Parametros!$E$3+VALUE(MID(F999,3,1))/Parametros!$E$4+VALUE(MID(F999,4,1))/Parametros!$E$5)</f>
        <v/>
      </c>
      <c r="J999" s="5">
        <f>IF(G999=0,Parametros!$E$8,Parametros!$E$6+Parametros!$E$6*(Parametros!$E$7/G999+I999)/(Parametros!$E$6+Parametros!$E$7/G999+I999))</f>
        <v/>
      </c>
      <c r="K999" s="2" t="inlineStr">
        <is>
          <t>2026-09-29 13:30</t>
        </is>
      </c>
      <c r="L999" s="6" t="inlineStr">
        <is>
          <t>Válido</t>
        </is>
      </c>
      <c r="M999" s="2">
        <f>IF(L999="Válido","Sim","Não")</f>
        <v/>
      </c>
      <c r="N999" s="2" t="inlineStr"/>
    </row>
    <row r="1000">
      <c r="A1000" s="2" t="inlineStr">
        <is>
          <t>1Bracos_3000_R1101_210W_2026-09-29_13_30.csv</t>
        </is>
      </c>
      <c r="B1000" s="2" t="inlineStr">
        <is>
          <t>210W_3000RPM_R1101</t>
        </is>
      </c>
      <c r="C1000" s="2" t="n">
        <v>210</v>
      </c>
      <c r="D1000" s="2" t="n">
        <v>3000</v>
      </c>
      <c r="E1000" s="3">
        <f>D1000*2/60</f>
        <v/>
      </c>
      <c r="F1000" s="2" t="inlineStr">
        <is>
          <t>1101</t>
        </is>
      </c>
      <c r="G1000" s="2" t="n">
        <v>1</v>
      </c>
      <c r="H1000" s="2">
        <f>INDEX(Parametros!$B$2:$B$9,MATCH(G1000,Parametros!$A$2:$A$9,0))</f>
        <v/>
      </c>
      <c r="I1000" s="4">
        <f>1/(VALUE(MID(F1000,1,1))/Parametros!$E$2+VALUE(MID(F1000,2,1))/Parametros!$E$3+VALUE(MID(F1000,3,1))/Parametros!$E$4+VALUE(MID(F1000,4,1))/Parametros!$E$5)</f>
        <v/>
      </c>
      <c r="J1000" s="5">
        <f>IF(G1000=0,Parametros!$E$8,Parametros!$E$6+Parametros!$E$6*(Parametros!$E$7/G1000+I1000)/(Parametros!$E$6+Parametros!$E$7/G1000+I1000))</f>
        <v/>
      </c>
      <c r="K1000" s="2" t="inlineStr">
        <is>
          <t>2026-09-29 13:30</t>
        </is>
      </c>
      <c r="L1000" s="6" t="inlineStr">
        <is>
          <t>Válido</t>
        </is>
      </c>
      <c r="M1000" s="2">
        <f>IF(L1000="Válido","Sim","Não")</f>
        <v/>
      </c>
      <c r="N1000" s="2" t="inlineStr"/>
    </row>
    <row r="1001">
      <c r="A1001" s="2" t="inlineStr">
        <is>
          <t>0Bracos_3000_R1101_210W_2026-09-29_13_30.csv</t>
        </is>
      </c>
      <c r="B1001" s="2" t="inlineStr">
        <is>
          <t>210W_3000RPM_R1101</t>
        </is>
      </c>
      <c r="C1001" s="2" t="n">
        <v>210</v>
      </c>
      <c r="D1001" s="2" t="n">
        <v>3000</v>
      </c>
      <c r="E1001" s="3">
        <f>D1001*2/60</f>
        <v/>
      </c>
      <c r="F1001" s="2" t="inlineStr">
        <is>
          <t>1101</t>
        </is>
      </c>
      <c r="G1001" s="2" t="n">
        <v>0</v>
      </c>
      <c r="H1001" s="2">
        <f>INDEX(Parametros!$B$2:$B$9,MATCH(G1001,Parametros!$A$2:$A$9,0))</f>
        <v/>
      </c>
      <c r="I1001" s="4">
        <f>1/(VALUE(MID(F1001,1,1))/Parametros!$E$2+VALUE(MID(F1001,2,1))/Parametros!$E$3+VALUE(MID(F1001,3,1))/Parametros!$E$4+VALUE(MID(F1001,4,1))/Parametros!$E$5)</f>
        <v/>
      </c>
      <c r="J1001" s="5">
        <f>IF(G1001=0,Parametros!$E$8,Parametros!$E$6+Parametros!$E$6*(Parametros!$E$7/G1001+I1001)/(Parametros!$E$6+Parametros!$E$7/G1001+I1001))</f>
        <v/>
      </c>
      <c r="K1001" s="2" t="inlineStr">
        <is>
          <t>2026-09-29 13:30</t>
        </is>
      </c>
      <c r="L1001" s="6" t="inlineStr">
        <is>
          <t>Válido</t>
        </is>
      </c>
      <c r="M1001" s="2">
        <f>IF(L1001="Válido","Sim","Não")</f>
        <v/>
      </c>
      <c r="N1001" s="2" t="inlineStr"/>
    </row>
    <row r="1002">
      <c r="A1002" s="2" t="inlineStr">
        <is>
          <t>7Bracos_3000_R1110_210W_2026-09-29_13_30.csv</t>
        </is>
      </c>
      <c r="B1002" s="2" t="inlineStr">
        <is>
          <t>210W_3000RPM_R1110</t>
        </is>
      </c>
      <c r="C1002" s="2" t="n">
        <v>210</v>
      </c>
      <c r="D1002" s="2" t="n">
        <v>3000</v>
      </c>
      <c r="E1002" s="3">
        <f>D1002*2/60</f>
        <v/>
      </c>
      <c r="F1002" s="2" t="inlineStr">
        <is>
          <t>1110</t>
        </is>
      </c>
      <c r="G1002" s="2" t="n">
        <v>7</v>
      </c>
      <c r="H1002" s="2">
        <f>INDEX(Parametros!$B$2:$B$9,MATCH(G1002,Parametros!$A$2:$A$9,0))</f>
        <v/>
      </c>
      <c r="I1002" s="4">
        <f>1/(VALUE(MID(F1002,1,1))/Parametros!$E$2+VALUE(MID(F1002,2,1))/Parametros!$E$3+VALUE(MID(F1002,3,1))/Parametros!$E$4+VALUE(MID(F1002,4,1))/Parametros!$E$5)</f>
        <v/>
      </c>
      <c r="J1002" s="5">
        <f>IF(G1002=0,Parametros!$E$8,Parametros!$E$6+Parametros!$E$6*(Parametros!$E$7/G1002+I1002)/(Parametros!$E$6+Parametros!$E$7/G1002+I1002))</f>
        <v/>
      </c>
      <c r="K1002" s="2" t="inlineStr">
        <is>
          <t>2026-09-29 13:30</t>
        </is>
      </c>
      <c r="L1002" s="6" t="inlineStr">
        <is>
          <t>Válido</t>
        </is>
      </c>
      <c r="M1002" s="2">
        <f>IF(L1002="Válido","Sim","Não")</f>
        <v/>
      </c>
      <c r="N1002" s="2" t="inlineStr"/>
    </row>
    <row r="1003">
      <c r="A1003" s="2" t="inlineStr">
        <is>
          <t>6Bracos_3000_R1110_210W_2026-09-29_13_30.csv</t>
        </is>
      </c>
      <c r="B1003" s="2" t="inlineStr">
        <is>
          <t>210W_3000RPM_R1110</t>
        </is>
      </c>
      <c r="C1003" s="2" t="n">
        <v>210</v>
      </c>
      <c r="D1003" s="2" t="n">
        <v>3000</v>
      </c>
      <c r="E1003" s="3">
        <f>D1003*2/60</f>
        <v/>
      </c>
      <c r="F1003" s="2" t="inlineStr">
        <is>
          <t>1110</t>
        </is>
      </c>
      <c r="G1003" s="2" t="n">
        <v>6</v>
      </c>
      <c r="H1003" s="2">
        <f>INDEX(Parametros!$B$2:$B$9,MATCH(G1003,Parametros!$A$2:$A$9,0))</f>
        <v/>
      </c>
      <c r="I1003" s="4">
        <f>1/(VALUE(MID(F1003,1,1))/Parametros!$E$2+VALUE(MID(F1003,2,1))/Parametros!$E$3+VALUE(MID(F1003,3,1))/Parametros!$E$4+VALUE(MID(F1003,4,1))/Parametros!$E$5)</f>
        <v/>
      </c>
      <c r="J1003" s="5">
        <f>IF(G1003=0,Parametros!$E$8,Parametros!$E$6+Parametros!$E$6*(Parametros!$E$7/G1003+I1003)/(Parametros!$E$6+Parametros!$E$7/G1003+I1003))</f>
        <v/>
      </c>
      <c r="K1003" s="2" t="inlineStr">
        <is>
          <t>2026-09-29 13:30</t>
        </is>
      </c>
      <c r="L1003" s="6" t="inlineStr">
        <is>
          <t>Válido</t>
        </is>
      </c>
      <c r="M1003" s="2">
        <f>IF(L1003="Válido","Sim","Não")</f>
        <v/>
      </c>
      <c r="N1003" s="2" t="inlineStr"/>
    </row>
    <row r="1004">
      <c r="A1004" s="2" t="inlineStr">
        <is>
          <t>5Bracos_3000_R1110_210W_2026-09-29_13_30.csv</t>
        </is>
      </c>
      <c r="B1004" s="2" t="inlineStr">
        <is>
          <t>210W_3000RPM_R1110</t>
        </is>
      </c>
      <c r="C1004" s="2" t="n">
        <v>210</v>
      </c>
      <c r="D1004" s="2" t="n">
        <v>3000</v>
      </c>
      <c r="E1004" s="3">
        <f>D1004*2/60</f>
        <v/>
      </c>
      <c r="F1004" s="2" t="inlineStr">
        <is>
          <t>1110</t>
        </is>
      </c>
      <c r="G1004" s="2" t="n">
        <v>5</v>
      </c>
      <c r="H1004" s="2">
        <f>INDEX(Parametros!$B$2:$B$9,MATCH(G1004,Parametros!$A$2:$A$9,0))</f>
        <v/>
      </c>
      <c r="I1004" s="4">
        <f>1/(VALUE(MID(F1004,1,1))/Parametros!$E$2+VALUE(MID(F1004,2,1))/Parametros!$E$3+VALUE(MID(F1004,3,1))/Parametros!$E$4+VALUE(MID(F1004,4,1))/Parametros!$E$5)</f>
        <v/>
      </c>
      <c r="J1004" s="5">
        <f>IF(G1004=0,Parametros!$E$8,Parametros!$E$6+Parametros!$E$6*(Parametros!$E$7/G1004+I1004)/(Parametros!$E$6+Parametros!$E$7/G1004+I1004))</f>
        <v/>
      </c>
      <c r="K1004" s="2" t="inlineStr">
        <is>
          <t>2026-09-29 13:30</t>
        </is>
      </c>
      <c r="L1004" s="6" t="inlineStr">
        <is>
          <t>Válido</t>
        </is>
      </c>
      <c r="M1004" s="2">
        <f>IF(L1004="Válido","Sim","Não")</f>
        <v/>
      </c>
      <c r="N1004" s="2" t="inlineStr"/>
    </row>
    <row r="1005">
      <c r="A1005" s="2" t="inlineStr">
        <is>
          <t>4Bracos_3000_R1110_210W_2026-09-29_13_30.csv</t>
        </is>
      </c>
      <c r="B1005" s="2" t="inlineStr">
        <is>
          <t>210W_3000RPM_R1110</t>
        </is>
      </c>
      <c r="C1005" s="2" t="n">
        <v>210</v>
      </c>
      <c r="D1005" s="2" t="n">
        <v>3000</v>
      </c>
      <c r="E1005" s="3">
        <f>D1005*2/60</f>
        <v/>
      </c>
      <c r="F1005" s="2" t="inlineStr">
        <is>
          <t>1110</t>
        </is>
      </c>
      <c r="G1005" s="2" t="n">
        <v>4</v>
      </c>
      <c r="H1005" s="2">
        <f>INDEX(Parametros!$B$2:$B$9,MATCH(G1005,Parametros!$A$2:$A$9,0))</f>
        <v/>
      </c>
      <c r="I1005" s="4">
        <f>1/(VALUE(MID(F1005,1,1))/Parametros!$E$2+VALUE(MID(F1005,2,1))/Parametros!$E$3+VALUE(MID(F1005,3,1))/Parametros!$E$4+VALUE(MID(F1005,4,1))/Parametros!$E$5)</f>
        <v/>
      </c>
      <c r="J1005" s="5">
        <f>IF(G1005=0,Parametros!$E$8,Parametros!$E$6+Parametros!$E$6*(Parametros!$E$7/G1005+I1005)/(Parametros!$E$6+Parametros!$E$7/G1005+I1005))</f>
        <v/>
      </c>
      <c r="K1005" s="2" t="inlineStr">
        <is>
          <t>2026-09-29 13:30</t>
        </is>
      </c>
      <c r="L1005" s="6" t="inlineStr">
        <is>
          <t>Válido</t>
        </is>
      </c>
      <c r="M1005" s="2">
        <f>IF(L1005="Válido","Sim","Não")</f>
        <v/>
      </c>
      <c r="N1005" s="2" t="inlineStr"/>
    </row>
    <row r="1006">
      <c r="A1006" s="2" t="inlineStr">
        <is>
          <t>3Bracos_3000_R1110_210W_2026-09-29_13_30.csv</t>
        </is>
      </c>
      <c r="B1006" s="2" t="inlineStr">
        <is>
          <t>210W_3000RPM_R1110</t>
        </is>
      </c>
      <c r="C1006" s="2" t="n">
        <v>210</v>
      </c>
      <c r="D1006" s="2" t="n">
        <v>3000</v>
      </c>
      <c r="E1006" s="3">
        <f>D1006*2/60</f>
        <v/>
      </c>
      <c r="F1006" s="2" t="inlineStr">
        <is>
          <t>1110</t>
        </is>
      </c>
      <c r="G1006" s="2" t="n">
        <v>3</v>
      </c>
      <c r="H1006" s="2">
        <f>INDEX(Parametros!$B$2:$B$9,MATCH(G1006,Parametros!$A$2:$A$9,0))</f>
        <v/>
      </c>
      <c r="I1006" s="4">
        <f>1/(VALUE(MID(F1006,1,1))/Parametros!$E$2+VALUE(MID(F1006,2,1))/Parametros!$E$3+VALUE(MID(F1006,3,1))/Parametros!$E$4+VALUE(MID(F1006,4,1))/Parametros!$E$5)</f>
        <v/>
      </c>
      <c r="J1006" s="5">
        <f>IF(G1006=0,Parametros!$E$8,Parametros!$E$6+Parametros!$E$6*(Parametros!$E$7/G1006+I1006)/(Parametros!$E$6+Parametros!$E$7/G1006+I1006))</f>
        <v/>
      </c>
      <c r="K1006" s="2" t="inlineStr">
        <is>
          <t>2026-09-29 13:30</t>
        </is>
      </c>
      <c r="L1006" s="6" t="inlineStr">
        <is>
          <t>Válido</t>
        </is>
      </c>
      <c r="M1006" s="2">
        <f>IF(L1006="Válido","Sim","Não")</f>
        <v/>
      </c>
      <c r="N1006" s="2" t="inlineStr"/>
    </row>
    <row r="1007">
      <c r="A1007" s="2" t="inlineStr">
        <is>
          <t>2Bracos_3000_R1110_210W_2026-09-29_13_30.csv</t>
        </is>
      </c>
      <c r="B1007" s="2" t="inlineStr">
        <is>
          <t>210W_3000RPM_R1110</t>
        </is>
      </c>
      <c r="C1007" s="2" t="n">
        <v>210</v>
      </c>
      <c r="D1007" s="2" t="n">
        <v>3000</v>
      </c>
      <c r="E1007" s="3">
        <f>D1007*2/60</f>
        <v/>
      </c>
      <c r="F1007" s="2" t="inlineStr">
        <is>
          <t>1110</t>
        </is>
      </c>
      <c r="G1007" s="2" t="n">
        <v>2</v>
      </c>
      <c r="H1007" s="2">
        <f>INDEX(Parametros!$B$2:$B$9,MATCH(G1007,Parametros!$A$2:$A$9,0))</f>
        <v/>
      </c>
      <c r="I1007" s="4">
        <f>1/(VALUE(MID(F1007,1,1))/Parametros!$E$2+VALUE(MID(F1007,2,1))/Parametros!$E$3+VALUE(MID(F1007,3,1))/Parametros!$E$4+VALUE(MID(F1007,4,1))/Parametros!$E$5)</f>
        <v/>
      </c>
      <c r="J1007" s="5">
        <f>IF(G1007=0,Parametros!$E$8,Parametros!$E$6+Parametros!$E$6*(Parametros!$E$7/G1007+I1007)/(Parametros!$E$6+Parametros!$E$7/G1007+I1007))</f>
        <v/>
      </c>
      <c r="K1007" s="2" t="inlineStr">
        <is>
          <t>2026-09-29 13:30</t>
        </is>
      </c>
      <c r="L1007" s="6" t="inlineStr">
        <is>
          <t>Válido</t>
        </is>
      </c>
      <c r="M1007" s="2">
        <f>IF(L1007="Válido","Sim","Não")</f>
        <v/>
      </c>
      <c r="N1007" s="2" t="inlineStr"/>
    </row>
    <row r="1008">
      <c r="A1008" s="2" t="inlineStr">
        <is>
          <t>1Bracos_3000_R1110_210W_2026-09-29_13_30.csv</t>
        </is>
      </c>
      <c r="B1008" s="2" t="inlineStr">
        <is>
          <t>210W_3000RPM_R1110</t>
        </is>
      </c>
      <c r="C1008" s="2" t="n">
        <v>210</v>
      </c>
      <c r="D1008" s="2" t="n">
        <v>3000</v>
      </c>
      <c r="E1008" s="3">
        <f>D1008*2/60</f>
        <v/>
      </c>
      <c r="F1008" s="2" t="inlineStr">
        <is>
          <t>1110</t>
        </is>
      </c>
      <c r="G1008" s="2" t="n">
        <v>1</v>
      </c>
      <c r="H1008" s="2">
        <f>INDEX(Parametros!$B$2:$B$9,MATCH(G1008,Parametros!$A$2:$A$9,0))</f>
        <v/>
      </c>
      <c r="I1008" s="4">
        <f>1/(VALUE(MID(F1008,1,1))/Parametros!$E$2+VALUE(MID(F1008,2,1))/Parametros!$E$3+VALUE(MID(F1008,3,1))/Parametros!$E$4+VALUE(MID(F1008,4,1))/Parametros!$E$5)</f>
        <v/>
      </c>
      <c r="J1008" s="5">
        <f>IF(G1008=0,Parametros!$E$8,Parametros!$E$6+Parametros!$E$6*(Parametros!$E$7/G1008+I1008)/(Parametros!$E$6+Parametros!$E$7/G1008+I1008))</f>
        <v/>
      </c>
      <c r="K1008" s="2" t="inlineStr">
        <is>
          <t>2026-09-29 13:30</t>
        </is>
      </c>
      <c r="L1008" s="6" t="inlineStr">
        <is>
          <t>Válido</t>
        </is>
      </c>
      <c r="M1008" s="2">
        <f>IF(L1008="Válido","Sim","Não")</f>
        <v/>
      </c>
      <c r="N1008" s="2" t="inlineStr"/>
    </row>
    <row r="1009">
      <c r="A1009" s="2" t="inlineStr">
        <is>
          <t>0Bracos_3000_R1110_210W_2026-09-29_13_30.csv</t>
        </is>
      </c>
      <c r="B1009" s="2" t="inlineStr">
        <is>
          <t>210W_3000RPM_R1110</t>
        </is>
      </c>
      <c r="C1009" s="2" t="n">
        <v>210</v>
      </c>
      <c r="D1009" s="2" t="n">
        <v>3000</v>
      </c>
      <c r="E1009" s="3">
        <f>D1009*2/60</f>
        <v/>
      </c>
      <c r="F1009" s="2" t="inlineStr">
        <is>
          <t>1110</t>
        </is>
      </c>
      <c r="G1009" s="2" t="n">
        <v>0</v>
      </c>
      <c r="H1009" s="2">
        <f>INDEX(Parametros!$B$2:$B$9,MATCH(G1009,Parametros!$A$2:$A$9,0))</f>
        <v/>
      </c>
      <c r="I1009" s="4">
        <f>1/(VALUE(MID(F1009,1,1))/Parametros!$E$2+VALUE(MID(F1009,2,1))/Parametros!$E$3+VALUE(MID(F1009,3,1))/Parametros!$E$4+VALUE(MID(F1009,4,1))/Parametros!$E$5)</f>
        <v/>
      </c>
      <c r="J1009" s="5">
        <f>IF(G1009=0,Parametros!$E$8,Parametros!$E$6+Parametros!$E$6*(Parametros!$E$7/G1009+I1009)/(Parametros!$E$6+Parametros!$E$7/G1009+I1009))</f>
        <v/>
      </c>
      <c r="K1009" s="2" t="inlineStr">
        <is>
          <t>2026-09-29 13:30</t>
        </is>
      </c>
      <c r="L1009" s="6" t="inlineStr">
        <is>
          <t>Válido</t>
        </is>
      </c>
      <c r="M1009" s="2">
        <f>IF(L1009="Válido","Sim","Não")</f>
        <v/>
      </c>
      <c r="N1009" s="2" t="inlineStr"/>
    </row>
    <row r="1010">
      <c r="A1010" s="2" t="inlineStr">
        <is>
          <t>7Bracos_3000_R1111_210W_2026-09-29_13_30.csv</t>
        </is>
      </c>
      <c r="B1010" s="2" t="inlineStr">
        <is>
          <t>210W_3000RPM_R1111</t>
        </is>
      </c>
      <c r="C1010" s="2" t="n">
        <v>210</v>
      </c>
      <c r="D1010" s="2" t="n">
        <v>3000</v>
      </c>
      <c r="E1010" s="3">
        <f>D1010*2/60</f>
        <v/>
      </c>
      <c r="F1010" s="2" t="inlineStr">
        <is>
          <t>1111</t>
        </is>
      </c>
      <c r="G1010" s="2" t="n">
        <v>7</v>
      </c>
      <c r="H1010" s="2">
        <f>INDEX(Parametros!$B$2:$B$9,MATCH(G1010,Parametros!$A$2:$A$9,0))</f>
        <v/>
      </c>
      <c r="I1010" s="4">
        <f>1/(VALUE(MID(F1010,1,1))/Parametros!$E$2+VALUE(MID(F1010,2,1))/Parametros!$E$3+VALUE(MID(F1010,3,1))/Parametros!$E$4+VALUE(MID(F1010,4,1))/Parametros!$E$5)</f>
        <v/>
      </c>
      <c r="J1010" s="5">
        <f>IF(G1010=0,Parametros!$E$8,Parametros!$E$6+Parametros!$E$6*(Parametros!$E$7/G1010+I1010)/(Parametros!$E$6+Parametros!$E$7/G1010+I1010))</f>
        <v/>
      </c>
      <c r="K1010" s="2" t="inlineStr">
        <is>
          <t>2026-09-29 13:30</t>
        </is>
      </c>
      <c r="L1010" s="6" t="inlineStr">
        <is>
          <t>Válido</t>
        </is>
      </c>
      <c r="M1010" s="2">
        <f>IF(L1010="Válido","Sim","Não")</f>
        <v/>
      </c>
      <c r="N1010" s="2" t="inlineStr"/>
    </row>
    <row r="1011">
      <c r="A1011" s="2" t="inlineStr">
        <is>
          <t>6Bracos_3000_R1111_210W_2026-09-29_13_30.csv</t>
        </is>
      </c>
      <c r="B1011" s="2" t="inlineStr">
        <is>
          <t>210W_3000RPM_R1111</t>
        </is>
      </c>
      <c r="C1011" s="2" t="n">
        <v>210</v>
      </c>
      <c r="D1011" s="2" t="n">
        <v>3000</v>
      </c>
      <c r="E1011" s="3">
        <f>D1011*2/60</f>
        <v/>
      </c>
      <c r="F1011" s="2" t="inlineStr">
        <is>
          <t>1111</t>
        </is>
      </c>
      <c r="G1011" s="2" t="n">
        <v>6</v>
      </c>
      <c r="H1011" s="2">
        <f>INDEX(Parametros!$B$2:$B$9,MATCH(G1011,Parametros!$A$2:$A$9,0))</f>
        <v/>
      </c>
      <c r="I1011" s="4">
        <f>1/(VALUE(MID(F1011,1,1))/Parametros!$E$2+VALUE(MID(F1011,2,1))/Parametros!$E$3+VALUE(MID(F1011,3,1))/Parametros!$E$4+VALUE(MID(F1011,4,1))/Parametros!$E$5)</f>
        <v/>
      </c>
      <c r="J1011" s="5">
        <f>IF(G1011=0,Parametros!$E$8,Parametros!$E$6+Parametros!$E$6*(Parametros!$E$7/G1011+I1011)/(Parametros!$E$6+Parametros!$E$7/G1011+I1011))</f>
        <v/>
      </c>
      <c r="K1011" s="2" t="inlineStr">
        <is>
          <t>2026-09-29 13:30</t>
        </is>
      </c>
      <c r="L1011" s="6" t="inlineStr">
        <is>
          <t>Válido</t>
        </is>
      </c>
      <c r="M1011" s="2">
        <f>IF(L1011="Válido","Sim","Não")</f>
        <v/>
      </c>
      <c r="N1011" s="2" t="inlineStr"/>
    </row>
    <row r="1012">
      <c r="A1012" s="2" t="inlineStr">
        <is>
          <t>5Bracos_3000_R1111_210W_2026-09-29_13_30.csv</t>
        </is>
      </c>
      <c r="B1012" s="2" t="inlineStr">
        <is>
          <t>210W_3000RPM_R1111</t>
        </is>
      </c>
      <c r="C1012" s="2" t="n">
        <v>210</v>
      </c>
      <c r="D1012" s="2" t="n">
        <v>3000</v>
      </c>
      <c r="E1012" s="3">
        <f>D1012*2/60</f>
        <v/>
      </c>
      <c r="F1012" s="2" t="inlineStr">
        <is>
          <t>1111</t>
        </is>
      </c>
      <c r="G1012" s="2" t="n">
        <v>5</v>
      </c>
      <c r="H1012" s="2">
        <f>INDEX(Parametros!$B$2:$B$9,MATCH(G1012,Parametros!$A$2:$A$9,0))</f>
        <v/>
      </c>
      <c r="I1012" s="4">
        <f>1/(VALUE(MID(F1012,1,1))/Parametros!$E$2+VALUE(MID(F1012,2,1))/Parametros!$E$3+VALUE(MID(F1012,3,1))/Parametros!$E$4+VALUE(MID(F1012,4,1))/Parametros!$E$5)</f>
        <v/>
      </c>
      <c r="J1012" s="5">
        <f>IF(G1012=0,Parametros!$E$8,Parametros!$E$6+Parametros!$E$6*(Parametros!$E$7/G1012+I1012)/(Parametros!$E$6+Parametros!$E$7/G1012+I1012))</f>
        <v/>
      </c>
      <c r="K1012" s="2" t="inlineStr">
        <is>
          <t>2026-09-29 13:30</t>
        </is>
      </c>
      <c r="L1012" s="6" t="inlineStr">
        <is>
          <t>Válido</t>
        </is>
      </c>
      <c r="M1012" s="2">
        <f>IF(L1012="Válido","Sim","Não")</f>
        <v/>
      </c>
      <c r="N1012" s="2" t="inlineStr"/>
    </row>
    <row r="1013">
      <c r="A1013" s="2" t="inlineStr">
        <is>
          <t>4Bracos_3000_R1111_210W_2026-09-29_13_30.csv</t>
        </is>
      </c>
      <c r="B1013" s="2" t="inlineStr">
        <is>
          <t>210W_3000RPM_R1111</t>
        </is>
      </c>
      <c r="C1013" s="2" t="n">
        <v>210</v>
      </c>
      <c r="D1013" s="2" t="n">
        <v>3000</v>
      </c>
      <c r="E1013" s="3">
        <f>D1013*2/60</f>
        <v/>
      </c>
      <c r="F1013" s="2" t="inlineStr">
        <is>
          <t>1111</t>
        </is>
      </c>
      <c r="G1013" s="2" t="n">
        <v>4</v>
      </c>
      <c r="H1013" s="2">
        <f>INDEX(Parametros!$B$2:$B$9,MATCH(G1013,Parametros!$A$2:$A$9,0))</f>
        <v/>
      </c>
      <c r="I1013" s="4">
        <f>1/(VALUE(MID(F1013,1,1))/Parametros!$E$2+VALUE(MID(F1013,2,1))/Parametros!$E$3+VALUE(MID(F1013,3,1))/Parametros!$E$4+VALUE(MID(F1013,4,1))/Parametros!$E$5)</f>
        <v/>
      </c>
      <c r="J1013" s="5">
        <f>IF(G1013=0,Parametros!$E$8,Parametros!$E$6+Parametros!$E$6*(Parametros!$E$7/G1013+I1013)/(Parametros!$E$6+Parametros!$E$7/G1013+I1013))</f>
        <v/>
      </c>
      <c r="K1013" s="2" t="inlineStr">
        <is>
          <t>2026-09-29 13:30</t>
        </is>
      </c>
      <c r="L1013" s="6" t="inlineStr">
        <is>
          <t>Válido</t>
        </is>
      </c>
      <c r="M1013" s="2">
        <f>IF(L1013="Válido","Sim","Não")</f>
        <v/>
      </c>
      <c r="N1013" s="2" t="inlineStr"/>
    </row>
    <row r="1014">
      <c r="A1014" s="2" t="inlineStr">
        <is>
          <t>3Bracos_3000_R1111_210W_2026-09-29_13_30.csv</t>
        </is>
      </c>
      <c r="B1014" s="2" t="inlineStr">
        <is>
          <t>210W_3000RPM_R1111</t>
        </is>
      </c>
      <c r="C1014" s="2" t="n">
        <v>210</v>
      </c>
      <c r="D1014" s="2" t="n">
        <v>3000</v>
      </c>
      <c r="E1014" s="3">
        <f>D1014*2/60</f>
        <v/>
      </c>
      <c r="F1014" s="2" t="inlineStr">
        <is>
          <t>1111</t>
        </is>
      </c>
      <c r="G1014" s="2" t="n">
        <v>3</v>
      </c>
      <c r="H1014" s="2">
        <f>INDEX(Parametros!$B$2:$B$9,MATCH(G1014,Parametros!$A$2:$A$9,0))</f>
        <v/>
      </c>
      <c r="I1014" s="4">
        <f>1/(VALUE(MID(F1014,1,1))/Parametros!$E$2+VALUE(MID(F1014,2,1))/Parametros!$E$3+VALUE(MID(F1014,3,1))/Parametros!$E$4+VALUE(MID(F1014,4,1))/Parametros!$E$5)</f>
        <v/>
      </c>
      <c r="J1014" s="5">
        <f>IF(G1014=0,Parametros!$E$8,Parametros!$E$6+Parametros!$E$6*(Parametros!$E$7/G1014+I1014)/(Parametros!$E$6+Parametros!$E$7/G1014+I1014))</f>
        <v/>
      </c>
      <c r="K1014" s="2" t="inlineStr">
        <is>
          <t>2026-09-29 13:30</t>
        </is>
      </c>
      <c r="L1014" s="6" t="inlineStr">
        <is>
          <t>Válido</t>
        </is>
      </c>
      <c r="M1014" s="2">
        <f>IF(L1014="Válido","Sim","Não")</f>
        <v/>
      </c>
      <c r="N1014" s="2" t="inlineStr"/>
    </row>
    <row r="1015">
      <c r="A1015" s="2" t="inlineStr">
        <is>
          <t>2Bracos_3000_R1111_210W_2026-09-29_13_30.csv</t>
        </is>
      </c>
      <c r="B1015" s="2" t="inlineStr">
        <is>
          <t>210W_3000RPM_R1111</t>
        </is>
      </c>
      <c r="C1015" s="2" t="n">
        <v>210</v>
      </c>
      <c r="D1015" s="2" t="n">
        <v>3000</v>
      </c>
      <c r="E1015" s="3">
        <f>D1015*2/60</f>
        <v/>
      </c>
      <c r="F1015" s="2" t="inlineStr">
        <is>
          <t>1111</t>
        </is>
      </c>
      <c r="G1015" s="2" t="n">
        <v>2</v>
      </c>
      <c r="H1015" s="2">
        <f>INDEX(Parametros!$B$2:$B$9,MATCH(G1015,Parametros!$A$2:$A$9,0))</f>
        <v/>
      </c>
      <c r="I1015" s="4">
        <f>1/(VALUE(MID(F1015,1,1))/Parametros!$E$2+VALUE(MID(F1015,2,1))/Parametros!$E$3+VALUE(MID(F1015,3,1))/Parametros!$E$4+VALUE(MID(F1015,4,1))/Parametros!$E$5)</f>
        <v/>
      </c>
      <c r="J1015" s="5">
        <f>IF(G1015=0,Parametros!$E$8,Parametros!$E$6+Parametros!$E$6*(Parametros!$E$7/G1015+I1015)/(Parametros!$E$6+Parametros!$E$7/G1015+I1015))</f>
        <v/>
      </c>
      <c r="K1015" s="2" t="inlineStr">
        <is>
          <t>2026-09-29 13:30</t>
        </is>
      </c>
      <c r="L1015" s="6" t="inlineStr">
        <is>
          <t>Válido</t>
        </is>
      </c>
      <c r="M1015" s="2">
        <f>IF(L1015="Válido","Sim","Não")</f>
        <v/>
      </c>
      <c r="N1015" s="2" t="inlineStr"/>
    </row>
    <row r="1016">
      <c r="A1016" s="2" t="inlineStr">
        <is>
          <t>1Bracos_3000_R1111_210W_2026-09-29_13_30.csv</t>
        </is>
      </c>
      <c r="B1016" s="2" t="inlineStr">
        <is>
          <t>210W_3000RPM_R1111</t>
        </is>
      </c>
      <c r="C1016" s="2" t="n">
        <v>210</v>
      </c>
      <c r="D1016" s="2" t="n">
        <v>3000</v>
      </c>
      <c r="E1016" s="3">
        <f>D1016*2/60</f>
        <v/>
      </c>
      <c r="F1016" s="2" t="inlineStr">
        <is>
          <t>1111</t>
        </is>
      </c>
      <c r="G1016" s="2" t="n">
        <v>1</v>
      </c>
      <c r="H1016" s="2">
        <f>INDEX(Parametros!$B$2:$B$9,MATCH(G1016,Parametros!$A$2:$A$9,0))</f>
        <v/>
      </c>
      <c r="I1016" s="4">
        <f>1/(VALUE(MID(F1016,1,1))/Parametros!$E$2+VALUE(MID(F1016,2,1))/Parametros!$E$3+VALUE(MID(F1016,3,1))/Parametros!$E$4+VALUE(MID(F1016,4,1))/Parametros!$E$5)</f>
        <v/>
      </c>
      <c r="J1016" s="5">
        <f>IF(G1016=0,Parametros!$E$8,Parametros!$E$6+Parametros!$E$6*(Parametros!$E$7/G1016+I1016)/(Parametros!$E$6+Parametros!$E$7/G1016+I1016))</f>
        <v/>
      </c>
      <c r="K1016" s="2" t="inlineStr">
        <is>
          <t>2026-09-29 13:30</t>
        </is>
      </c>
      <c r="L1016" s="6" t="inlineStr">
        <is>
          <t>Válido</t>
        </is>
      </c>
      <c r="M1016" s="2">
        <f>IF(L1016="Válido","Sim","Não")</f>
        <v/>
      </c>
      <c r="N1016" s="2" t="inlineStr"/>
    </row>
    <row r="1017">
      <c r="A1017" s="2" t="inlineStr">
        <is>
          <t>0Bracos_3000_R1111_210W_2026-09-29_13_30.csv</t>
        </is>
      </c>
      <c r="B1017" s="2" t="inlineStr">
        <is>
          <t>210W_3000RPM_R1111</t>
        </is>
      </c>
      <c r="C1017" s="2" t="n">
        <v>210</v>
      </c>
      <c r="D1017" s="2" t="n">
        <v>3000</v>
      </c>
      <c r="E1017" s="3">
        <f>D1017*2/60</f>
        <v/>
      </c>
      <c r="F1017" s="2" t="inlineStr">
        <is>
          <t>1111</t>
        </is>
      </c>
      <c r="G1017" s="2" t="n">
        <v>0</v>
      </c>
      <c r="H1017" s="2">
        <f>INDEX(Parametros!$B$2:$B$9,MATCH(G1017,Parametros!$A$2:$A$9,0))</f>
        <v/>
      </c>
      <c r="I1017" s="4">
        <f>1/(VALUE(MID(F1017,1,1))/Parametros!$E$2+VALUE(MID(F1017,2,1))/Parametros!$E$3+VALUE(MID(F1017,3,1))/Parametros!$E$4+VALUE(MID(F1017,4,1))/Parametros!$E$5)</f>
        <v/>
      </c>
      <c r="J1017" s="5">
        <f>IF(G1017=0,Parametros!$E$8,Parametros!$E$6+Parametros!$E$6*(Parametros!$E$7/G1017+I1017)/(Parametros!$E$6+Parametros!$E$7/G1017+I1017))</f>
        <v/>
      </c>
      <c r="K1017" s="2" t="inlineStr">
        <is>
          <t>2026-09-29 13:30</t>
        </is>
      </c>
      <c r="L1017" s="6" t="inlineStr">
        <is>
          <t>Válido</t>
        </is>
      </c>
      <c r="M1017" s="2">
        <f>IF(L1017="Válido","Sim","Não")</f>
        <v/>
      </c>
      <c r="N1017" s="2" t="inlineStr"/>
    </row>
    <row r="1018">
      <c r="A1018" s="2" t="inlineStr">
        <is>
          <t>7Bracos_R0001_210W_2026-09-25_12_40.csv</t>
        </is>
      </c>
      <c r="B1018" s="2" t="inlineStr">
        <is>
          <t>210W_3500RPM_R0001</t>
        </is>
      </c>
      <c r="C1018" s="2" t="n">
        <v>210</v>
      </c>
      <c r="D1018" s="2" t="n">
        <v>3500</v>
      </c>
      <c r="E1018" s="3">
        <f>D1018*2/60</f>
        <v/>
      </c>
      <c r="F1018" s="2" t="inlineStr">
        <is>
          <t>0001</t>
        </is>
      </c>
      <c r="G1018" s="2" t="n">
        <v>7</v>
      </c>
      <c r="H1018" s="2">
        <f>INDEX(Parametros!$B$2:$B$9,MATCH(G1018,Parametros!$A$2:$A$9,0))</f>
        <v/>
      </c>
      <c r="I1018" s="4">
        <f>1/(VALUE(MID(F1018,1,1))/Parametros!$E$2+VALUE(MID(F1018,2,1))/Parametros!$E$3+VALUE(MID(F1018,3,1))/Parametros!$E$4+VALUE(MID(F1018,4,1))/Parametros!$E$5)</f>
        <v/>
      </c>
      <c r="J1018" s="5">
        <f>IF(G1018=0,Parametros!$E$8,Parametros!$E$6+Parametros!$E$6*(Parametros!$E$7/G1018+I1018)/(Parametros!$E$6+Parametros!$E$7/G1018+I1018))</f>
        <v/>
      </c>
      <c r="K1018" s="2" t="inlineStr">
        <is>
          <t>2026-09-25 12:40</t>
        </is>
      </c>
      <c r="L1018" s="6" t="inlineStr">
        <is>
          <t>Válido</t>
        </is>
      </c>
      <c r="M1018" s="2">
        <f>IF(L1018="Válido","Sim","Não")</f>
        <v/>
      </c>
      <c r="N1018" s="2" t="inlineStr"/>
    </row>
    <row r="1019">
      <c r="A1019" s="2" t="inlineStr">
        <is>
          <t>6Bracos_R0001_210W_2026-09-25_12_40.csv</t>
        </is>
      </c>
      <c r="B1019" s="2" t="inlineStr">
        <is>
          <t>210W_3500RPM_R0001</t>
        </is>
      </c>
      <c r="C1019" s="2" t="n">
        <v>210</v>
      </c>
      <c r="D1019" s="2" t="n">
        <v>3500</v>
      </c>
      <c r="E1019" s="3">
        <f>D1019*2/60</f>
        <v/>
      </c>
      <c r="F1019" s="2" t="inlineStr">
        <is>
          <t>0001</t>
        </is>
      </c>
      <c r="G1019" s="2" t="n">
        <v>6</v>
      </c>
      <c r="H1019" s="2">
        <f>INDEX(Parametros!$B$2:$B$9,MATCH(G1019,Parametros!$A$2:$A$9,0))</f>
        <v/>
      </c>
      <c r="I1019" s="4">
        <f>1/(VALUE(MID(F1019,1,1))/Parametros!$E$2+VALUE(MID(F1019,2,1))/Parametros!$E$3+VALUE(MID(F1019,3,1))/Parametros!$E$4+VALUE(MID(F1019,4,1))/Parametros!$E$5)</f>
        <v/>
      </c>
      <c r="J1019" s="5">
        <f>IF(G1019=0,Parametros!$E$8,Parametros!$E$6+Parametros!$E$6*(Parametros!$E$7/G1019+I1019)/(Parametros!$E$6+Parametros!$E$7/G1019+I1019))</f>
        <v/>
      </c>
      <c r="K1019" s="2" t="inlineStr">
        <is>
          <t>2026-09-25 12:40</t>
        </is>
      </c>
      <c r="L1019" s="6" t="inlineStr">
        <is>
          <t>Válido</t>
        </is>
      </c>
      <c r="M1019" s="2">
        <f>IF(L1019="Válido","Sim","Não")</f>
        <v/>
      </c>
      <c r="N1019" s="2" t="inlineStr"/>
    </row>
    <row r="1020">
      <c r="A1020" s="2" t="inlineStr">
        <is>
          <t>5Bracos_R0001_210W_2026-09-25_12_40.csv</t>
        </is>
      </c>
      <c r="B1020" s="2" t="inlineStr">
        <is>
          <t>210W_3500RPM_R0001</t>
        </is>
      </c>
      <c r="C1020" s="2" t="n">
        <v>210</v>
      </c>
      <c r="D1020" s="2" t="n">
        <v>3500</v>
      </c>
      <c r="E1020" s="3">
        <f>D1020*2/60</f>
        <v/>
      </c>
      <c r="F1020" s="2" t="inlineStr">
        <is>
          <t>0001</t>
        </is>
      </c>
      <c r="G1020" s="2" t="n">
        <v>5</v>
      </c>
      <c r="H1020" s="2">
        <f>INDEX(Parametros!$B$2:$B$9,MATCH(G1020,Parametros!$A$2:$A$9,0))</f>
        <v/>
      </c>
      <c r="I1020" s="4">
        <f>1/(VALUE(MID(F1020,1,1))/Parametros!$E$2+VALUE(MID(F1020,2,1))/Parametros!$E$3+VALUE(MID(F1020,3,1))/Parametros!$E$4+VALUE(MID(F1020,4,1))/Parametros!$E$5)</f>
        <v/>
      </c>
      <c r="J1020" s="5">
        <f>IF(G1020=0,Parametros!$E$8,Parametros!$E$6+Parametros!$E$6*(Parametros!$E$7/G1020+I1020)/(Parametros!$E$6+Parametros!$E$7/G1020+I1020))</f>
        <v/>
      </c>
      <c r="K1020" s="2" t="inlineStr">
        <is>
          <t>2026-09-25 12:40</t>
        </is>
      </c>
      <c r="L1020" s="6" t="inlineStr">
        <is>
          <t>Válido</t>
        </is>
      </c>
      <c r="M1020" s="2">
        <f>IF(L1020="Válido","Sim","Não")</f>
        <v/>
      </c>
      <c r="N1020" s="2" t="inlineStr"/>
    </row>
    <row r="1021">
      <c r="A1021" s="2" t="inlineStr">
        <is>
          <t>4Bracos_R0001_210W_2026-09-25_12_40.csv</t>
        </is>
      </c>
      <c r="B1021" s="2" t="inlineStr">
        <is>
          <t>210W_3500RPM_R0001</t>
        </is>
      </c>
      <c r="C1021" s="2" t="n">
        <v>210</v>
      </c>
      <c r="D1021" s="2" t="n">
        <v>3500</v>
      </c>
      <c r="E1021" s="3">
        <f>D1021*2/60</f>
        <v/>
      </c>
      <c r="F1021" s="2" t="inlineStr">
        <is>
          <t>0001</t>
        </is>
      </c>
      <c r="G1021" s="2" t="n">
        <v>4</v>
      </c>
      <c r="H1021" s="2">
        <f>INDEX(Parametros!$B$2:$B$9,MATCH(G1021,Parametros!$A$2:$A$9,0))</f>
        <v/>
      </c>
      <c r="I1021" s="4">
        <f>1/(VALUE(MID(F1021,1,1))/Parametros!$E$2+VALUE(MID(F1021,2,1))/Parametros!$E$3+VALUE(MID(F1021,3,1))/Parametros!$E$4+VALUE(MID(F1021,4,1))/Parametros!$E$5)</f>
        <v/>
      </c>
      <c r="J1021" s="5">
        <f>IF(G1021=0,Parametros!$E$8,Parametros!$E$6+Parametros!$E$6*(Parametros!$E$7/G1021+I1021)/(Parametros!$E$6+Parametros!$E$7/G1021+I1021))</f>
        <v/>
      </c>
      <c r="K1021" s="2" t="inlineStr">
        <is>
          <t>2026-09-25 12:40</t>
        </is>
      </c>
      <c r="L1021" s="6" t="inlineStr">
        <is>
          <t>Válido</t>
        </is>
      </c>
      <c r="M1021" s="2">
        <f>IF(L1021="Válido","Sim","Não")</f>
        <v/>
      </c>
      <c r="N1021" s="2" t="inlineStr"/>
    </row>
    <row r="1022">
      <c r="A1022" s="2" t="inlineStr">
        <is>
          <t>3Bracos_R0001_210W_2026-09-25_12_40.csv</t>
        </is>
      </c>
      <c r="B1022" s="2" t="inlineStr">
        <is>
          <t>210W_3500RPM_R0001</t>
        </is>
      </c>
      <c r="C1022" s="2" t="n">
        <v>210</v>
      </c>
      <c r="D1022" s="2" t="n">
        <v>3500</v>
      </c>
      <c r="E1022" s="3">
        <f>D1022*2/60</f>
        <v/>
      </c>
      <c r="F1022" s="2" t="inlineStr">
        <is>
          <t>0001</t>
        </is>
      </c>
      <c r="G1022" s="2" t="n">
        <v>3</v>
      </c>
      <c r="H1022" s="2">
        <f>INDEX(Parametros!$B$2:$B$9,MATCH(G1022,Parametros!$A$2:$A$9,0))</f>
        <v/>
      </c>
      <c r="I1022" s="4">
        <f>1/(VALUE(MID(F1022,1,1))/Parametros!$E$2+VALUE(MID(F1022,2,1))/Parametros!$E$3+VALUE(MID(F1022,3,1))/Parametros!$E$4+VALUE(MID(F1022,4,1))/Parametros!$E$5)</f>
        <v/>
      </c>
      <c r="J1022" s="5">
        <f>IF(G1022=0,Parametros!$E$8,Parametros!$E$6+Parametros!$E$6*(Parametros!$E$7/G1022+I1022)/(Parametros!$E$6+Parametros!$E$7/G1022+I1022))</f>
        <v/>
      </c>
      <c r="K1022" s="2" t="inlineStr">
        <is>
          <t>2026-09-25 12:40</t>
        </is>
      </c>
      <c r="L1022" s="6" t="inlineStr">
        <is>
          <t>Válido</t>
        </is>
      </c>
      <c r="M1022" s="2">
        <f>IF(L1022="Válido","Sim","Não")</f>
        <v/>
      </c>
      <c r="N1022" s="2" t="inlineStr"/>
    </row>
    <row r="1023">
      <c r="A1023" s="2" t="inlineStr">
        <is>
          <t>2Bracos_R0001_210W_2026-09-25_12_40.csv</t>
        </is>
      </c>
      <c r="B1023" s="2" t="inlineStr">
        <is>
          <t>210W_3500RPM_R0001</t>
        </is>
      </c>
      <c r="C1023" s="2" t="n">
        <v>210</v>
      </c>
      <c r="D1023" s="2" t="n">
        <v>3500</v>
      </c>
      <c r="E1023" s="3">
        <f>D1023*2/60</f>
        <v/>
      </c>
      <c r="F1023" s="2" t="inlineStr">
        <is>
          <t>0001</t>
        </is>
      </c>
      <c r="G1023" s="2" t="n">
        <v>2</v>
      </c>
      <c r="H1023" s="2">
        <f>INDEX(Parametros!$B$2:$B$9,MATCH(G1023,Parametros!$A$2:$A$9,0))</f>
        <v/>
      </c>
      <c r="I1023" s="4">
        <f>1/(VALUE(MID(F1023,1,1))/Parametros!$E$2+VALUE(MID(F1023,2,1))/Parametros!$E$3+VALUE(MID(F1023,3,1))/Parametros!$E$4+VALUE(MID(F1023,4,1))/Parametros!$E$5)</f>
        <v/>
      </c>
      <c r="J1023" s="5">
        <f>IF(G1023=0,Parametros!$E$8,Parametros!$E$6+Parametros!$E$6*(Parametros!$E$7/G1023+I1023)/(Parametros!$E$6+Parametros!$E$7/G1023+I1023))</f>
        <v/>
      </c>
      <c r="K1023" s="2" t="inlineStr">
        <is>
          <t>2026-09-25 12:40</t>
        </is>
      </c>
      <c r="L1023" s="6" t="inlineStr">
        <is>
          <t>Válido</t>
        </is>
      </c>
      <c r="M1023" s="2">
        <f>IF(L1023="Válido","Sim","Não")</f>
        <v/>
      </c>
      <c r="N1023" s="2" t="inlineStr"/>
    </row>
    <row r="1024">
      <c r="A1024" s="2" t="inlineStr">
        <is>
          <t>1Bracos_R0001_210W_2026-09-25_12_40.csv</t>
        </is>
      </c>
      <c r="B1024" s="2" t="inlineStr">
        <is>
          <t>210W_3500RPM_R0001</t>
        </is>
      </c>
      <c r="C1024" s="2" t="n">
        <v>210</v>
      </c>
      <c r="D1024" s="2" t="n">
        <v>3500</v>
      </c>
      <c r="E1024" s="3">
        <f>D1024*2/60</f>
        <v/>
      </c>
      <c r="F1024" s="2" t="inlineStr">
        <is>
          <t>0001</t>
        </is>
      </c>
      <c r="G1024" s="2" t="n">
        <v>1</v>
      </c>
      <c r="H1024" s="2">
        <f>INDEX(Parametros!$B$2:$B$9,MATCH(G1024,Parametros!$A$2:$A$9,0))</f>
        <v/>
      </c>
      <c r="I1024" s="4">
        <f>1/(VALUE(MID(F1024,1,1))/Parametros!$E$2+VALUE(MID(F1024,2,1))/Parametros!$E$3+VALUE(MID(F1024,3,1))/Parametros!$E$4+VALUE(MID(F1024,4,1))/Parametros!$E$5)</f>
        <v/>
      </c>
      <c r="J1024" s="5">
        <f>IF(G1024=0,Parametros!$E$8,Parametros!$E$6+Parametros!$E$6*(Parametros!$E$7/G1024+I1024)/(Parametros!$E$6+Parametros!$E$7/G1024+I1024))</f>
        <v/>
      </c>
      <c r="K1024" s="2" t="inlineStr">
        <is>
          <t>2026-09-25 12:40</t>
        </is>
      </c>
      <c r="L1024" s="6" t="inlineStr">
        <is>
          <t>Válido</t>
        </is>
      </c>
      <c r="M1024" s="2">
        <f>IF(L1024="Válido","Sim","Não")</f>
        <v/>
      </c>
      <c r="N1024" s="2" t="inlineStr"/>
    </row>
    <row r="1025">
      <c r="A1025" s="2" t="inlineStr">
        <is>
          <t>0Bracos_R0001_210W_2026-09-25_12_40.csv</t>
        </is>
      </c>
      <c r="B1025" s="2" t="inlineStr">
        <is>
          <t>210W_3500RPM_R0001</t>
        </is>
      </c>
      <c r="C1025" s="2" t="n">
        <v>210</v>
      </c>
      <c r="D1025" s="2" t="n">
        <v>3500</v>
      </c>
      <c r="E1025" s="3">
        <f>D1025*2/60</f>
        <v/>
      </c>
      <c r="F1025" s="2" t="inlineStr">
        <is>
          <t>0001</t>
        </is>
      </c>
      <c r="G1025" s="2" t="n">
        <v>0</v>
      </c>
      <c r="H1025" s="2">
        <f>INDEX(Parametros!$B$2:$B$9,MATCH(G1025,Parametros!$A$2:$A$9,0))</f>
        <v/>
      </c>
      <c r="I1025" s="4">
        <f>1/(VALUE(MID(F1025,1,1))/Parametros!$E$2+VALUE(MID(F1025,2,1))/Parametros!$E$3+VALUE(MID(F1025,3,1))/Parametros!$E$4+VALUE(MID(F1025,4,1))/Parametros!$E$5)</f>
        <v/>
      </c>
      <c r="J1025" s="5">
        <f>IF(G1025=0,Parametros!$E$8,Parametros!$E$6+Parametros!$E$6*(Parametros!$E$7/G1025+I1025)/(Parametros!$E$6+Parametros!$E$7/G1025+I1025))</f>
        <v/>
      </c>
      <c r="K1025" s="2" t="inlineStr">
        <is>
          <t>2026-09-25 12:40</t>
        </is>
      </c>
      <c r="L1025" s="6" t="inlineStr">
        <is>
          <t>Válido</t>
        </is>
      </c>
      <c r="M1025" s="2">
        <f>IF(L1025="Válido","Sim","Não")</f>
        <v/>
      </c>
      <c r="N1025" s="2" t="inlineStr"/>
    </row>
    <row r="1026">
      <c r="A1026" s="2" t="inlineStr">
        <is>
          <t>7Bracos_R0010_210W_2026-09-25_12_40.csv</t>
        </is>
      </c>
      <c r="B1026" s="2" t="inlineStr">
        <is>
          <t>210W_3500RPM_R0010</t>
        </is>
      </c>
      <c r="C1026" s="2" t="n">
        <v>210</v>
      </c>
      <c r="D1026" s="2" t="n">
        <v>3500</v>
      </c>
      <c r="E1026" s="3">
        <f>D1026*2/60</f>
        <v/>
      </c>
      <c r="F1026" s="2" t="inlineStr">
        <is>
          <t>0010</t>
        </is>
      </c>
      <c r="G1026" s="2" t="n">
        <v>7</v>
      </c>
      <c r="H1026" s="2">
        <f>INDEX(Parametros!$B$2:$B$9,MATCH(G1026,Parametros!$A$2:$A$9,0))</f>
        <v/>
      </c>
      <c r="I1026" s="4">
        <f>1/(VALUE(MID(F1026,1,1))/Parametros!$E$2+VALUE(MID(F1026,2,1))/Parametros!$E$3+VALUE(MID(F1026,3,1))/Parametros!$E$4+VALUE(MID(F1026,4,1))/Parametros!$E$5)</f>
        <v/>
      </c>
      <c r="J1026" s="5">
        <f>IF(G1026=0,Parametros!$E$8,Parametros!$E$6+Parametros!$E$6*(Parametros!$E$7/G1026+I1026)/(Parametros!$E$6+Parametros!$E$7/G1026+I1026))</f>
        <v/>
      </c>
      <c r="K1026" s="2" t="inlineStr">
        <is>
          <t>2026-09-25 12:40</t>
        </is>
      </c>
      <c r="L1026" s="6" t="inlineStr">
        <is>
          <t>Válido</t>
        </is>
      </c>
      <c r="M1026" s="2">
        <f>IF(L1026="Válido","Sim","Não")</f>
        <v/>
      </c>
      <c r="N1026" s="2" t="inlineStr"/>
    </row>
    <row r="1027">
      <c r="A1027" s="2" t="inlineStr">
        <is>
          <t>6Bracos_R0010_210W_2026-09-25_12_40.csv</t>
        </is>
      </c>
      <c r="B1027" s="2" t="inlineStr">
        <is>
          <t>210W_3500RPM_R0010</t>
        </is>
      </c>
      <c r="C1027" s="2" t="n">
        <v>210</v>
      </c>
      <c r="D1027" s="2" t="n">
        <v>3500</v>
      </c>
      <c r="E1027" s="3">
        <f>D1027*2/60</f>
        <v/>
      </c>
      <c r="F1027" s="2" t="inlineStr">
        <is>
          <t>0010</t>
        </is>
      </c>
      <c r="G1027" s="2" t="n">
        <v>6</v>
      </c>
      <c r="H1027" s="2">
        <f>INDEX(Parametros!$B$2:$B$9,MATCH(G1027,Parametros!$A$2:$A$9,0))</f>
        <v/>
      </c>
      <c r="I1027" s="4">
        <f>1/(VALUE(MID(F1027,1,1))/Parametros!$E$2+VALUE(MID(F1027,2,1))/Parametros!$E$3+VALUE(MID(F1027,3,1))/Parametros!$E$4+VALUE(MID(F1027,4,1))/Parametros!$E$5)</f>
        <v/>
      </c>
      <c r="J1027" s="5">
        <f>IF(G1027=0,Parametros!$E$8,Parametros!$E$6+Parametros!$E$6*(Parametros!$E$7/G1027+I1027)/(Parametros!$E$6+Parametros!$E$7/G1027+I1027))</f>
        <v/>
      </c>
      <c r="K1027" s="2" t="inlineStr">
        <is>
          <t>2026-09-25 12:40</t>
        </is>
      </c>
      <c r="L1027" s="6" t="inlineStr">
        <is>
          <t>Válido</t>
        </is>
      </c>
      <c r="M1027" s="2">
        <f>IF(L1027="Válido","Sim","Não")</f>
        <v/>
      </c>
      <c r="N1027" s="2" t="inlineStr"/>
    </row>
    <row r="1028">
      <c r="A1028" s="2" t="inlineStr">
        <is>
          <t>5Bracos_R0010_210W_2026-09-25_12_40.csv</t>
        </is>
      </c>
      <c r="B1028" s="2" t="inlineStr">
        <is>
          <t>210W_3500RPM_R0010</t>
        </is>
      </c>
      <c r="C1028" s="2" t="n">
        <v>210</v>
      </c>
      <c r="D1028" s="2" t="n">
        <v>3500</v>
      </c>
      <c r="E1028" s="3">
        <f>D1028*2/60</f>
        <v/>
      </c>
      <c r="F1028" s="2" t="inlineStr">
        <is>
          <t>0010</t>
        </is>
      </c>
      <c r="G1028" s="2" t="n">
        <v>5</v>
      </c>
      <c r="H1028" s="2">
        <f>INDEX(Parametros!$B$2:$B$9,MATCH(G1028,Parametros!$A$2:$A$9,0))</f>
        <v/>
      </c>
      <c r="I1028" s="4">
        <f>1/(VALUE(MID(F1028,1,1))/Parametros!$E$2+VALUE(MID(F1028,2,1))/Parametros!$E$3+VALUE(MID(F1028,3,1))/Parametros!$E$4+VALUE(MID(F1028,4,1))/Parametros!$E$5)</f>
        <v/>
      </c>
      <c r="J1028" s="5">
        <f>IF(G1028=0,Parametros!$E$8,Parametros!$E$6+Parametros!$E$6*(Parametros!$E$7/G1028+I1028)/(Parametros!$E$6+Parametros!$E$7/G1028+I1028))</f>
        <v/>
      </c>
      <c r="K1028" s="2" t="inlineStr">
        <is>
          <t>2026-09-25 12:40</t>
        </is>
      </c>
      <c r="L1028" s="6" t="inlineStr">
        <is>
          <t>Válido</t>
        </is>
      </c>
      <c r="M1028" s="2">
        <f>IF(L1028="Válido","Sim","Não")</f>
        <v/>
      </c>
      <c r="N1028" s="2" t="inlineStr"/>
    </row>
    <row r="1029">
      <c r="A1029" s="2" t="inlineStr">
        <is>
          <t>4Bracos_R0010_210W_2026-09-25_12_40.csv</t>
        </is>
      </c>
      <c r="B1029" s="2" t="inlineStr">
        <is>
          <t>210W_3500RPM_R0010</t>
        </is>
      </c>
      <c r="C1029" s="2" t="n">
        <v>210</v>
      </c>
      <c r="D1029" s="2" t="n">
        <v>3500</v>
      </c>
      <c r="E1029" s="3">
        <f>D1029*2/60</f>
        <v/>
      </c>
      <c r="F1029" s="2" t="inlineStr">
        <is>
          <t>0010</t>
        </is>
      </c>
      <c r="G1029" s="2" t="n">
        <v>4</v>
      </c>
      <c r="H1029" s="2">
        <f>INDEX(Parametros!$B$2:$B$9,MATCH(G1029,Parametros!$A$2:$A$9,0))</f>
        <v/>
      </c>
      <c r="I1029" s="4">
        <f>1/(VALUE(MID(F1029,1,1))/Parametros!$E$2+VALUE(MID(F1029,2,1))/Parametros!$E$3+VALUE(MID(F1029,3,1))/Parametros!$E$4+VALUE(MID(F1029,4,1))/Parametros!$E$5)</f>
        <v/>
      </c>
      <c r="J1029" s="5">
        <f>IF(G1029=0,Parametros!$E$8,Parametros!$E$6+Parametros!$E$6*(Parametros!$E$7/G1029+I1029)/(Parametros!$E$6+Parametros!$E$7/G1029+I1029))</f>
        <v/>
      </c>
      <c r="K1029" s="2" t="inlineStr">
        <is>
          <t>2026-09-25 12:40</t>
        </is>
      </c>
      <c r="L1029" s="6" t="inlineStr">
        <is>
          <t>Válido</t>
        </is>
      </c>
      <c r="M1029" s="2">
        <f>IF(L1029="Válido","Sim","Não")</f>
        <v/>
      </c>
      <c r="N1029" s="2" t="inlineStr"/>
    </row>
    <row r="1030">
      <c r="A1030" s="2" t="inlineStr">
        <is>
          <t>3Bracos_R0010_210W_2026-09-25_12_40.csv</t>
        </is>
      </c>
      <c r="B1030" s="2" t="inlineStr">
        <is>
          <t>210W_3500RPM_R0010</t>
        </is>
      </c>
      <c r="C1030" s="2" t="n">
        <v>210</v>
      </c>
      <c r="D1030" s="2" t="n">
        <v>3500</v>
      </c>
      <c r="E1030" s="3">
        <f>D1030*2/60</f>
        <v/>
      </c>
      <c r="F1030" s="2" t="inlineStr">
        <is>
          <t>0010</t>
        </is>
      </c>
      <c r="G1030" s="2" t="n">
        <v>3</v>
      </c>
      <c r="H1030" s="2">
        <f>INDEX(Parametros!$B$2:$B$9,MATCH(G1030,Parametros!$A$2:$A$9,0))</f>
        <v/>
      </c>
      <c r="I1030" s="4">
        <f>1/(VALUE(MID(F1030,1,1))/Parametros!$E$2+VALUE(MID(F1030,2,1))/Parametros!$E$3+VALUE(MID(F1030,3,1))/Parametros!$E$4+VALUE(MID(F1030,4,1))/Parametros!$E$5)</f>
        <v/>
      </c>
      <c r="J1030" s="5">
        <f>IF(G1030=0,Parametros!$E$8,Parametros!$E$6+Parametros!$E$6*(Parametros!$E$7/G1030+I1030)/(Parametros!$E$6+Parametros!$E$7/G1030+I1030))</f>
        <v/>
      </c>
      <c r="K1030" s="2" t="inlineStr">
        <is>
          <t>2026-09-25 12:40</t>
        </is>
      </c>
      <c r="L1030" s="6" t="inlineStr">
        <is>
          <t>Válido</t>
        </is>
      </c>
      <c r="M1030" s="2">
        <f>IF(L1030="Válido","Sim","Não")</f>
        <v/>
      </c>
      <c r="N1030" s="2" t="inlineStr"/>
    </row>
    <row r="1031">
      <c r="A1031" s="2" t="inlineStr">
        <is>
          <t>2Bracos_R0010_210W_2026-09-25_12_40.csv</t>
        </is>
      </c>
      <c r="B1031" s="2" t="inlineStr">
        <is>
          <t>210W_3500RPM_R0010</t>
        </is>
      </c>
      <c r="C1031" s="2" t="n">
        <v>210</v>
      </c>
      <c r="D1031" s="2" t="n">
        <v>3500</v>
      </c>
      <c r="E1031" s="3">
        <f>D1031*2/60</f>
        <v/>
      </c>
      <c r="F1031" s="2" t="inlineStr">
        <is>
          <t>0010</t>
        </is>
      </c>
      <c r="G1031" s="2" t="n">
        <v>2</v>
      </c>
      <c r="H1031" s="2">
        <f>INDEX(Parametros!$B$2:$B$9,MATCH(G1031,Parametros!$A$2:$A$9,0))</f>
        <v/>
      </c>
      <c r="I1031" s="4">
        <f>1/(VALUE(MID(F1031,1,1))/Parametros!$E$2+VALUE(MID(F1031,2,1))/Parametros!$E$3+VALUE(MID(F1031,3,1))/Parametros!$E$4+VALUE(MID(F1031,4,1))/Parametros!$E$5)</f>
        <v/>
      </c>
      <c r="J1031" s="5">
        <f>IF(G1031=0,Parametros!$E$8,Parametros!$E$6+Parametros!$E$6*(Parametros!$E$7/G1031+I1031)/(Parametros!$E$6+Parametros!$E$7/G1031+I1031))</f>
        <v/>
      </c>
      <c r="K1031" s="2" t="inlineStr">
        <is>
          <t>2026-09-25 12:40</t>
        </is>
      </c>
      <c r="L1031" s="6" t="inlineStr">
        <is>
          <t>Válido</t>
        </is>
      </c>
      <c r="M1031" s="2">
        <f>IF(L1031="Válido","Sim","Não")</f>
        <v/>
      </c>
      <c r="N1031" s="2" t="inlineStr"/>
    </row>
    <row r="1032">
      <c r="A1032" s="2" t="inlineStr">
        <is>
          <t>1Bracos_R0010_210W_2026-09-25_12_40.csv</t>
        </is>
      </c>
      <c r="B1032" s="2" t="inlineStr">
        <is>
          <t>210W_3500RPM_R0010</t>
        </is>
      </c>
      <c r="C1032" s="2" t="n">
        <v>210</v>
      </c>
      <c r="D1032" s="2" t="n">
        <v>3500</v>
      </c>
      <c r="E1032" s="3">
        <f>D1032*2/60</f>
        <v/>
      </c>
      <c r="F1032" s="2" t="inlineStr">
        <is>
          <t>0010</t>
        </is>
      </c>
      <c r="G1032" s="2" t="n">
        <v>1</v>
      </c>
      <c r="H1032" s="2">
        <f>INDEX(Parametros!$B$2:$B$9,MATCH(G1032,Parametros!$A$2:$A$9,0))</f>
        <v/>
      </c>
      <c r="I1032" s="4">
        <f>1/(VALUE(MID(F1032,1,1))/Parametros!$E$2+VALUE(MID(F1032,2,1))/Parametros!$E$3+VALUE(MID(F1032,3,1))/Parametros!$E$4+VALUE(MID(F1032,4,1))/Parametros!$E$5)</f>
        <v/>
      </c>
      <c r="J1032" s="5">
        <f>IF(G1032=0,Parametros!$E$8,Parametros!$E$6+Parametros!$E$6*(Parametros!$E$7/G1032+I1032)/(Parametros!$E$6+Parametros!$E$7/G1032+I1032))</f>
        <v/>
      </c>
      <c r="K1032" s="2" t="inlineStr">
        <is>
          <t>2026-09-25 12:40</t>
        </is>
      </c>
      <c r="L1032" s="6" t="inlineStr">
        <is>
          <t>Válido</t>
        </is>
      </c>
      <c r="M1032" s="2">
        <f>IF(L1032="Válido","Sim","Não")</f>
        <v/>
      </c>
      <c r="N1032" s="2" t="inlineStr"/>
    </row>
    <row r="1033">
      <c r="A1033" s="2" t="inlineStr">
        <is>
          <t>0Bracos_R0010_210W_2026-09-25_12_40.csv</t>
        </is>
      </c>
      <c r="B1033" s="2" t="inlineStr">
        <is>
          <t>210W_3500RPM_R0010</t>
        </is>
      </c>
      <c r="C1033" s="2" t="n">
        <v>210</v>
      </c>
      <c r="D1033" s="2" t="n">
        <v>3500</v>
      </c>
      <c r="E1033" s="3">
        <f>D1033*2/60</f>
        <v/>
      </c>
      <c r="F1033" s="2" t="inlineStr">
        <is>
          <t>0010</t>
        </is>
      </c>
      <c r="G1033" s="2" t="n">
        <v>0</v>
      </c>
      <c r="H1033" s="2">
        <f>INDEX(Parametros!$B$2:$B$9,MATCH(G1033,Parametros!$A$2:$A$9,0))</f>
        <v/>
      </c>
      <c r="I1033" s="4">
        <f>1/(VALUE(MID(F1033,1,1))/Parametros!$E$2+VALUE(MID(F1033,2,1))/Parametros!$E$3+VALUE(MID(F1033,3,1))/Parametros!$E$4+VALUE(MID(F1033,4,1))/Parametros!$E$5)</f>
        <v/>
      </c>
      <c r="J1033" s="5">
        <f>IF(G1033=0,Parametros!$E$8,Parametros!$E$6+Parametros!$E$6*(Parametros!$E$7/G1033+I1033)/(Parametros!$E$6+Parametros!$E$7/G1033+I1033))</f>
        <v/>
      </c>
      <c r="K1033" s="2" t="inlineStr">
        <is>
          <t>2026-09-25 12:40</t>
        </is>
      </c>
      <c r="L1033" s="6" t="inlineStr">
        <is>
          <t>Válido</t>
        </is>
      </c>
      <c r="M1033" s="2">
        <f>IF(L1033="Válido","Sim","Não")</f>
        <v/>
      </c>
      <c r="N1033" s="2" t="inlineStr"/>
    </row>
    <row r="1034">
      <c r="A1034" s="2" t="inlineStr">
        <is>
          <t>7Bracos_R0011_210W_2026-09-25_12_40.csv</t>
        </is>
      </c>
      <c r="B1034" s="2" t="inlineStr">
        <is>
          <t>210W_3500RPM_R0011</t>
        </is>
      </c>
      <c r="C1034" s="2" t="n">
        <v>210</v>
      </c>
      <c r="D1034" s="2" t="n">
        <v>3500</v>
      </c>
      <c r="E1034" s="3">
        <f>D1034*2/60</f>
        <v/>
      </c>
      <c r="F1034" s="2" t="inlineStr">
        <is>
          <t>0011</t>
        </is>
      </c>
      <c r="G1034" s="2" t="n">
        <v>7</v>
      </c>
      <c r="H1034" s="2">
        <f>INDEX(Parametros!$B$2:$B$9,MATCH(G1034,Parametros!$A$2:$A$9,0))</f>
        <v/>
      </c>
      <c r="I1034" s="4">
        <f>1/(VALUE(MID(F1034,1,1))/Parametros!$E$2+VALUE(MID(F1034,2,1))/Parametros!$E$3+VALUE(MID(F1034,3,1))/Parametros!$E$4+VALUE(MID(F1034,4,1))/Parametros!$E$5)</f>
        <v/>
      </c>
      <c r="J1034" s="5">
        <f>IF(G1034=0,Parametros!$E$8,Parametros!$E$6+Parametros!$E$6*(Parametros!$E$7/G1034+I1034)/(Parametros!$E$6+Parametros!$E$7/G1034+I1034))</f>
        <v/>
      </c>
      <c r="K1034" s="2" t="inlineStr">
        <is>
          <t>2026-09-25 12:40</t>
        </is>
      </c>
      <c r="L1034" s="6" t="inlineStr">
        <is>
          <t>Válido</t>
        </is>
      </c>
      <c r="M1034" s="2">
        <f>IF(L1034="Válido","Sim","Não")</f>
        <v/>
      </c>
      <c r="N1034" s="2" t="inlineStr"/>
    </row>
    <row r="1035">
      <c r="A1035" s="2" t="inlineStr">
        <is>
          <t>6Bracos_R0011_210W_2026-09-25_12_40.csv</t>
        </is>
      </c>
      <c r="B1035" s="2" t="inlineStr">
        <is>
          <t>210W_3500RPM_R0011</t>
        </is>
      </c>
      <c r="C1035" s="2" t="n">
        <v>210</v>
      </c>
      <c r="D1035" s="2" t="n">
        <v>3500</v>
      </c>
      <c r="E1035" s="3">
        <f>D1035*2/60</f>
        <v/>
      </c>
      <c r="F1035" s="2" t="inlineStr">
        <is>
          <t>0011</t>
        </is>
      </c>
      <c r="G1035" s="2" t="n">
        <v>6</v>
      </c>
      <c r="H1035" s="2">
        <f>INDEX(Parametros!$B$2:$B$9,MATCH(G1035,Parametros!$A$2:$A$9,0))</f>
        <v/>
      </c>
      <c r="I1035" s="4">
        <f>1/(VALUE(MID(F1035,1,1))/Parametros!$E$2+VALUE(MID(F1035,2,1))/Parametros!$E$3+VALUE(MID(F1035,3,1))/Parametros!$E$4+VALUE(MID(F1035,4,1))/Parametros!$E$5)</f>
        <v/>
      </c>
      <c r="J1035" s="5">
        <f>IF(G1035=0,Parametros!$E$8,Parametros!$E$6+Parametros!$E$6*(Parametros!$E$7/G1035+I1035)/(Parametros!$E$6+Parametros!$E$7/G1035+I1035))</f>
        <v/>
      </c>
      <c r="K1035" s="2" t="inlineStr">
        <is>
          <t>2026-09-25 12:40</t>
        </is>
      </c>
      <c r="L1035" s="6" t="inlineStr">
        <is>
          <t>Válido</t>
        </is>
      </c>
      <c r="M1035" s="2">
        <f>IF(L1035="Válido","Sim","Não")</f>
        <v/>
      </c>
      <c r="N1035" s="2" t="inlineStr"/>
    </row>
    <row r="1036">
      <c r="A1036" s="2" t="inlineStr">
        <is>
          <t>5Bracos_R0011_210W_2026-09-25_12_40.csv</t>
        </is>
      </c>
      <c r="B1036" s="2" t="inlineStr">
        <is>
          <t>210W_3500RPM_R0011</t>
        </is>
      </c>
      <c r="C1036" s="2" t="n">
        <v>210</v>
      </c>
      <c r="D1036" s="2" t="n">
        <v>3500</v>
      </c>
      <c r="E1036" s="3">
        <f>D1036*2/60</f>
        <v/>
      </c>
      <c r="F1036" s="2" t="inlineStr">
        <is>
          <t>0011</t>
        </is>
      </c>
      <c r="G1036" s="2" t="n">
        <v>5</v>
      </c>
      <c r="H1036" s="2">
        <f>INDEX(Parametros!$B$2:$B$9,MATCH(G1036,Parametros!$A$2:$A$9,0))</f>
        <v/>
      </c>
      <c r="I1036" s="4">
        <f>1/(VALUE(MID(F1036,1,1))/Parametros!$E$2+VALUE(MID(F1036,2,1))/Parametros!$E$3+VALUE(MID(F1036,3,1))/Parametros!$E$4+VALUE(MID(F1036,4,1))/Parametros!$E$5)</f>
        <v/>
      </c>
      <c r="J1036" s="5">
        <f>IF(G1036=0,Parametros!$E$8,Parametros!$E$6+Parametros!$E$6*(Parametros!$E$7/G1036+I1036)/(Parametros!$E$6+Parametros!$E$7/G1036+I1036))</f>
        <v/>
      </c>
      <c r="K1036" s="2" t="inlineStr">
        <is>
          <t>2026-09-25 12:40</t>
        </is>
      </c>
      <c r="L1036" s="6" t="inlineStr">
        <is>
          <t>Válido</t>
        </is>
      </c>
      <c r="M1036" s="2">
        <f>IF(L1036="Válido","Sim","Não")</f>
        <v/>
      </c>
      <c r="N1036" s="2" t="inlineStr"/>
    </row>
    <row r="1037">
      <c r="A1037" s="2" t="inlineStr">
        <is>
          <t>4Bracos_R0011_210W_2026-09-25_12_40.csv</t>
        </is>
      </c>
      <c r="B1037" s="2" t="inlineStr">
        <is>
          <t>210W_3500RPM_R0011</t>
        </is>
      </c>
      <c r="C1037" s="2" t="n">
        <v>210</v>
      </c>
      <c r="D1037" s="2" t="n">
        <v>3500</v>
      </c>
      <c r="E1037" s="3">
        <f>D1037*2/60</f>
        <v/>
      </c>
      <c r="F1037" s="2" t="inlineStr">
        <is>
          <t>0011</t>
        </is>
      </c>
      <c r="G1037" s="2" t="n">
        <v>4</v>
      </c>
      <c r="H1037" s="2">
        <f>INDEX(Parametros!$B$2:$B$9,MATCH(G1037,Parametros!$A$2:$A$9,0))</f>
        <v/>
      </c>
      <c r="I1037" s="4">
        <f>1/(VALUE(MID(F1037,1,1))/Parametros!$E$2+VALUE(MID(F1037,2,1))/Parametros!$E$3+VALUE(MID(F1037,3,1))/Parametros!$E$4+VALUE(MID(F1037,4,1))/Parametros!$E$5)</f>
        <v/>
      </c>
      <c r="J1037" s="5">
        <f>IF(G1037=0,Parametros!$E$8,Parametros!$E$6+Parametros!$E$6*(Parametros!$E$7/G1037+I1037)/(Parametros!$E$6+Parametros!$E$7/G1037+I1037))</f>
        <v/>
      </c>
      <c r="K1037" s="2" t="inlineStr">
        <is>
          <t>2026-09-25 12:40</t>
        </is>
      </c>
      <c r="L1037" s="6" t="inlineStr">
        <is>
          <t>Válido</t>
        </is>
      </c>
      <c r="M1037" s="2">
        <f>IF(L1037="Válido","Sim","Não")</f>
        <v/>
      </c>
      <c r="N1037" s="2" t="inlineStr"/>
    </row>
    <row r="1038">
      <c r="A1038" s="2" t="inlineStr">
        <is>
          <t>3Bracos_R0011_210W_2026-09-25_12_40.csv</t>
        </is>
      </c>
      <c r="B1038" s="2" t="inlineStr">
        <is>
          <t>210W_3500RPM_R0011</t>
        </is>
      </c>
      <c r="C1038" s="2" t="n">
        <v>210</v>
      </c>
      <c r="D1038" s="2" t="n">
        <v>3500</v>
      </c>
      <c r="E1038" s="3">
        <f>D1038*2/60</f>
        <v/>
      </c>
      <c r="F1038" s="2" t="inlineStr">
        <is>
          <t>0011</t>
        </is>
      </c>
      <c r="G1038" s="2" t="n">
        <v>3</v>
      </c>
      <c r="H1038" s="2">
        <f>INDEX(Parametros!$B$2:$B$9,MATCH(G1038,Parametros!$A$2:$A$9,0))</f>
        <v/>
      </c>
      <c r="I1038" s="4">
        <f>1/(VALUE(MID(F1038,1,1))/Parametros!$E$2+VALUE(MID(F1038,2,1))/Parametros!$E$3+VALUE(MID(F1038,3,1))/Parametros!$E$4+VALUE(MID(F1038,4,1))/Parametros!$E$5)</f>
        <v/>
      </c>
      <c r="J1038" s="5">
        <f>IF(G1038=0,Parametros!$E$8,Parametros!$E$6+Parametros!$E$6*(Parametros!$E$7/G1038+I1038)/(Parametros!$E$6+Parametros!$E$7/G1038+I1038))</f>
        <v/>
      </c>
      <c r="K1038" s="2" t="inlineStr">
        <is>
          <t>2026-09-25 12:40</t>
        </is>
      </c>
      <c r="L1038" s="6" t="inlineStr">
        <is>
          <t>Válido</t>
        </is>
      </c>
      <c r="M1038" s="2">
        <f>IF(L1038="Válido","Sim","Não")</f>
        <v/>
      </c>
      <c r="N1038" s="2" t="inlineStr"/>
    </row>
    <row r="1039">
      <c r="A1039" s="2" t="inlineStr">
        <is>
          <t>2Bracos_R0011_210W_2026-09-25_12_40.csv</t>
        </is>
      </c>
      <c r="B1039" s="2" t="inlineStr">
        <is>
          <t>210W_3500RPM_R0011</t>
        </is>
      </c>
      <c r="C1039" s="2" t="n">
        <v>210</v>
      </c>
      <c r="D1039" s="2" t="n">
        <v>3500</v>
      </c>
      <c r="E1039" s="3">
        <f>D1039*2/60</f>
        <v/>
      </c>
      <c r="F1039" s="2" t="inlineStr">
        <is>
          <t>0011</t>
        </is>
      </c>
      <c r="G1039" s="2" t="n">
        <v>2</v>
      </c>
      <c r="H1039" s="2">
        <f>INDEX(Parametros!$B$2:$B$9,MATCH(G1039,Parametros!$A$2:$A$9,0))</f>
        <v/>
      </c>
      <c r="I1039" s="4">
        <f>1/(VALUE(MID(F1039,1,1))/Parametros!$E$2+VALUE(MID(F1039,2,1))/Parametros!$E$3+VALUE(MID(F1039,3,1))/Parametros!$E$4+VALUE(MID(F1039,4,1))/Parametros!$E$5)</f>
        <v/>
      </c>
      <c r="J1039" s="5">
        <f>IF(G1039=0,Parametros!$E$8,Parametros!$E$6+Parametros!$E$6*(Parametros!$E$7/G1039+I1039)/(Parametros!$E$6+Parametros!$E$7/G1039+I1039))</f>
        <v/>
      </c>
      <c r="K1039" s="2" t="inlineStr">
        <is>
          <t>2026-09-25 12:40</t>
        </is>
      </c>
      <c r="L1039" s="6" t="inlineStr">
        <is>
          <t>Válido</t>
        </is>
      </c>
      <c r="M1039" s="2">
        <f>IF(L1039="Válido","Sim","Não")</f>
        <v/>
      </c>
      <c r="N1039" s="2" t="inlineStr"/>
    </row>
    <row r="1040">
      <c r="A1040" s="2" t="inlineStr">
        <is>
          <t>1Bracos_R0011_210W_2026-09-25_12_40.csv</t>
        </is>
      </c>
      <c r="B1040" s="2" t="inlineStr">
        <is>
          <t>210W_3500RPM_R0011</t>
        </is>
      </c>
      <c r="C1040" s="2" t="n">
        <v>210</v>
      </c>
      <c r="D1040" s="2" t="n">
        <v>3500</v>
      </c>
      <c r="E1040" s="3">
        <f>D1040*2/60</f>
        <v/>
      </c>
      <c r="F1040" s="2" t="inlineStr">
        <is>
          <t>0011</t>
        </is>
      </c>
      <c r="G1040" s="2" t="n">
        <v>1</v>
      </c>
      <c r="H1040" s="2">
        <f>INDEX(Parametros!$B$2:$B$9,MATCH(G1040,Parametros!$A$2:$A$9,0))</f>
        <v/>
      </c>
      <c r="I1040" s="4">
        <f>1/(VALUE(MID(F1040,1,1))/Parametros!$E$2+VALUE(MID(F1040,2,1))/Parametros!$E$3+VALUE(MID(F1040,3,1))/Parametros!$E$4+VALUE(MID(F1040,4,1))/Parametros!$E$5)</f>
        <v/>
      </c>
      <c r="J1040" s="5">
        <f>IF(G1040=0,Parametros!$E$8,Parametros!$E$6+Parametros!$E$6*(Parametros!$E$7/G1040+I1040)/(Parametros!$E$6+Parametros!$E$7/G1040+I1040))</f>
        <v/>
      </c>
      <c r="K1040" s="2" t="inlineStr">
        <is>
          <t>2026-09-25 12:40</t>
        </is>
      </c>
      <c r="L1040" s="6" t="inlineStr">
        <is>
          <t>Válido</t>
        </is>
      </c>
      <c r="M1040" s="2">
        <f>IF(L1040="Válido","Sim","Não")</f>
        <v/>
      </c>
      <c r="N1040" s="2" t="inlineStr"/>
    </row>
    <row r="1041">
      <c r="A1041" s="2" t="inlineStr">
        <is>
          <t>0Bracos_R0011_210W_2026-09-25_12_40.csv</t>
        </is>
      </c>
      <c r="B1041" s="2" t="inlineStr">
        <is>
          <t>210W_3500RPM_R0011</t>
        </is>
      </c>
      <c r="C1041" s="2" t="n">
        <v>210</v>
      </c>
      <c r="D1041" s="2" t="n">
        <v>3500</v>
      </c>
      <c r="E1041" s="3">
        <f>D1041*2/60</f>
        <v/>
      </c>
      <c r="F1041" s="2" t="inlineStr">
        <is>
          <t>0011</t>
        </is>
      </c>
      <c r="G1041" s="2" t="n">
        <v>0</v>
      </c>
      <c r="H1041" s="2">
        <f>INDEX(Parametros!$B$2:$B$9,MATCH(G1041,Parametros!$A$2:$A$9,0))</f>
        <v/>
      </c>
      <c r="I1041" s="4">
        <f>1/(VALUE(MID(F1041,1,1))/Parametros!$E$2+VALUE(MID(F1041,2,1))/Parametros!$E$3+VALUE(MID(F1041,3,1))/Parametros!$E$4+VALUE(MID(F1041,4,1))/Parametros!$E$5)</f>
        <v/>
      </c>
      <c r="J1041" s="5">
        <f>IF(G1041=0,Parametros!$E$8,Parametros!$E$6+Parametros!$E$6*(Parametros!$E$7/G1041+I1041)/(Parametros!$E$6+Parametros!$E$7/G1041+I1041))</f>
        <v/>
      </c>
      <c r="K1041" s="2" t="inlineStr">
        <is>
          <t>2026-09-25 12:40</t>
        </is>
      </c>
      <c r="L1041" s="6" t="inlineStr">
        <is>
          <t>Válido</t>
        </is>
      </c>
      <c r="M1041" s="2">
        <f>IF(L1041="Válido","Sim","Não")</f>
        <v/>
      </c>
      <c r="N1041" s="2" t="inlineStr"/>
    </row>
    <row r="1042">
      <c r="A1042" s="2" t="inlineStr">
        <is>
          <t>7Bracos_R0100_210W_2026-09-25_12_40.csv</t>
        </is>
      </c>
      <c r="B1042" s="2" t="inlineStr">
        <is>
          <t>210W_3500RPM_R0100</t>
        </is>
      </c>
      <c r="C1042" s="2" t="n">
        <v>210</v>
      </c>
      <c r="D1042" s="2" t="n">
        <v>3500</v>
      </c>
      <c r="E1042" s="3">
        <f>D1042*2/60</f>
        <v/>
      </c>
      <c r="F1042" s="2" t="inlineStr">
        <is>
          <t>0100</t>
        </is>
      </c>
      <c r="G1042" s="2" t="n">
        <v>7</v>
      </c>
      <c r="H1042" s="2">
        <f>INDEX(Parametros!$B$2:$B$9,MATCH(G1042,Parametros!$A$2:$A$9,0))</f>
        <v/>
      </c>
      <c r="I1042" s="4">
        <f>1/(VALUE(MID(F1042,1,1))/Parametros!$E$2+VALUE(MID(F1042,2,1))/Parametros!$E$3+VALUE(MID(F1042,3,1))/Parametros!$E$4+VALUE(MID(F1042,4,1))/Parametros!$E$5)</f>
        <v/>
      </c>
      <c r="J1042" s="5">
        <f>IF(G1042=0,Parametros!$E$8,Parametros!$E$6+Parametros!$E$6*(Parametros!$E$7/G1042+I1042)/(Parametros!$E$6+Parametros!$E$7/G1042+I1042))</f>
        <v/>
      </c>
      <c r="K1042" s="2" t="inlineStr">
        <is>
          <t>2026-09-25 12:40</t>
        </is>
      </c>
      <c r="L1042" s="6" t="inlineStr">
        <is>
          <t>Válido</t>
        </is>
      </c>
      <c r="M1042" s="2">
        <f>IF(L1042="Válido","Sim","Não")</f>
        <v/>
      </c>
      <c r="N1042" s="2" t="inlineStr"/>
    </row>
    <row r="1043">
      <c r="A1043" s="2" t="inlineStr">
        <is>
          <t>6Bracos_R0100_210W_2026-09-25_12_40.csv</t>
        </is>
      </c>
      <c r="B1043" s="2" t="inlineStr">
        <is>
          <t>210W_3500RPM_R0100</t>
        </is>
      </c>
      <c r="C1043" s="2" t="n">
        <v>210</v>
      </c>
      <c r="D1043" s="2" t="n">
        <v>3500</v>
      </c>
      <c r="E1043" s="3">
        <f>D1043*2/60</f>
        <v/>
      </c>
      <c r="F1043" s="2" t="inlineStr">
        <is>
          <t>0100</t>
        </is>
      </c>
      <c r="G1043" s="2" t="n">
        <v>6</v>
      </c>
      <c r="H1043" s="2">
        <f>INDEX(Parametros!$B$2:$B$9,MATCH(G1043,Parametros!$A$2:$A$9,0))</f>
        <v/>
      </c>
      <c r="I1043" s="4">
        <f>1/(VALUE(MID(F1043,1,1))/Parametros!$E$2+VALUE(MID(F1043,2,1))/Parametros!$E$3+VALUE(MID(F1043,3,1))/Parametros!$E$4+VALUE(MID(F1043,4,1))/Parametros!$E$5)</f>
        <v/>
      </c>
      <c r="J1043" s="5">
        <f>IF(G1043=0,Parametros!$E$8,Parametros!$E$6+Parametros!$E$6*(Parametros!$E$7/G1043+I1043)/(Parametros!$E$6+Parametros!$E$7/G1043+I1043))</f>
        <v/>
      </c>
      <c r="K1043" s="2" t="inlineStr">
        <is>
          <t>2026-09-25 12:40</t>
        </is>
      </c>
      <c r="L1043" s="6" t="inlineStr">
        <is>
          <t>Válido</t>
        </is>
      </c>
      <c r="M1043" s="2">
        <f>IF(L1043="Válido","Sim","Não")</f>
        <v/>
      </c>
      <c r="N1043" s="2" t="inlineStr"/>
    </row>
    <row r="1044">
      <c r="A1044" s="2" t="inlineStr">
        <is>
          <t>5Bracos_R0100_210W_2026-09-25_12_40.csv</t>
        </is>
      </c>
      <c r="B1044" s="2" t="inlineStr">
        <is>
          <t>210W_3500RPM_R0100</t>
        </is>
      </c>
      <c r="C1044" s="2" t="n">
        <v>210</v>
      </c>
      <c r="D1044" s="2" t="n">
        <v>3500</v>
      </c>
      <c r="E1044" s="3">
        <f>D1044*2/60</f>
        <v/>
      </c>
      <c r="F1044" s="2" t="inlineStr">
        <is>
          <t>0100</t>
        </is>
      </c>
      <c r="G1044" s="2" t="n">
        <v>5</v>
      </c>
      <c r="H1044" s="2">
        <f>INDEX(Parametros!$B$2:$B$9,MATCH(G1044,Parametros!$A$2:$A$9,0))</f>
        <v/>
      </c>
      <c r="I1044" s="4">
        <f>1/(VALUE(MID(F1044,1,1))/Parametros!$E$2+VALUE(MID(F1044,2,1))/Parametros!$E$3+VALUE(MID(F1044,3,1))/Parametros!$E$4+VALUE(MID(F1044,4,1))/Parametros!$E$5)</f>
        <v/>
      </c>
      <c r="J1044" s="5">
        <f>IF(G1044=0,Parametros!$E$8,Parametros!$E$6+Parametros!$E$6*(Parametros!$E$7/G1044+I1044)/(Parametros!$E$6+Parametros!$E$7/G1044+I1044))</f>
        <v/>
      </c>
      <c r="K1044" s="2" t="inlineStr">
        <is>
          <t>2026-09-25 12:40</t>
        </is>
      </c>
      <c r="L1044" s="6" t="inlineStr">
        <is>
          <t>Válido</t>
        </is>
      </c>
      <c r="M1044" s="2">
        <f>IF(L1044="Válido","Sim","Não")</f>
        <v/>
      </c>
      <c r="N1044" s="2" t="inlineStr"/>
    </row>
    <row r="1045">
      <c r="A1045" s="2" t="inlineStr">
        <is>
          <t>4Bracos_R0100_210W_2026-09-25_12_40.csv</t>
        </is>
      </c>
      <c r="B1045" s="2" t="inlineStr">
        <is>
          <t>210W_3500RPM_R0100</t>
        </is>
      </c>
      <c r="C1045" s="2" t="n">
        <v>210</v>
      </c>
      <c r="D1045" s="2" t="n">
        <v>3500</v>
      </c>
      <c r="E1045" s="3">
        <f>D1045*2/60</f>
        <v/>
      </c>
      <c r="F1045" s="2" t="inlineStr">
        <is>
          <t>0100</t>
        </is>
      </c>
      <c r="G1045" s="2" t="n">
        <v>4</v>
      </c>
      <c r="H1045" s="2">
        <f>INDEX(Parametros!$B$2:$B$9,MATCH(G1045,Parametros!$A$2:$A$9,0))</f>
        <v/>
      </c>
      <c r="I1045" s="4">
        <f>1/(VALUE(MID(F1045,1,1))/Parametros!$E$2+VALUE(MID(F1045,2,1))/Parametros!$E$3+VALUE(MID(F1045,3,1))/Parametros!$E$4+VALUE(MID(F1045,4,1))/Parametros!$E$5)</f>
        <v/>
      </c>
      <c r="J1045" s="5">
        <f>IF(G1045=0,Parametros!$E$8,Parametros!$E$6+Parametros!$E$6*(Parametros!$E$7/G1045+I1045)/(Parametros!$E$6+Parametros!$E$7/G1045+I1045))</f>
        <v/>
      </c>
      <c r="K1045" s="2" t="inlineStr">
        <is>
          <t>2026-09-25 12:40</t>
        </is>
      </c>
      <c r="L1045" s="6" t="inlineStr">
        <is>
          <t>Válido</t>
        </is>
      </c>
      <c r="M1045" s="2">
        <f>IF(L1045="Válido","Sim","Não")</f>
        <v/>
      </c>
      <c r="N1045" s="2" t="inlineStr"/>
    </row>
    <row r="1046">
      <c r="A1046" s="2" t="inlineStr">
        <is>
          <t>3Bracos_R0100_210W_2026-09-25_12_40.csv</t>
        </is>
      </c>
      <c r="B1046" s="2" t="inlineStr">
        <is>
          <t>210W_3500RPM_R0100</t>
        </is>
      </c>
      <c r="C1046" s="2" t="n">
        <v>210</v>
      </c>
      <c r="D1046" s="2" t="n">
        <v>3500</v>
      </c>
      <c r="E1046" s="3">
        <f>D1046*2/60</f>
        <v/>
      </c>
      <c r="F1046" s="2" t="inlineStr">
        <is>
          <t>0100</t>
        </is>
      </c>
      <c r="G1046" s="2" t="n">
        <v>3</v>
      </c>
      <c r="H1046" s="2">
        <f>INDEX(Parametros!$B$2:$B$9,MATCH(G1046,Parametros!$A$2:$A$9,0))</f>
        <v/>
      </c>
      <c r="I1046" s="4">
        <f>1/(VALUE(MID(F1046,1,1))/Parametros!$E$2+VALUE(MID(F1046,2,1))/Parametros!$E$3+VALUE(MID(F1046,3,1))/Parametros!$E$4+VALUE(MID(F1046,4,1))/Parametros!$E$5)</f>
        <v/>
      </c>
      <c r="J1046" s="5">
        <f>IF(G1046=0,Parametros!$E$8,Parametros!$E$6+Parametros!$E$6*(Parametros!$E$7/G1046+I1046)/(Parametros!$E$6+Parametros!$E$7/G1046+I1046))</f>
        <v/>
      </c>
      <c r="K1046" s="2" t="inlineStr">
        <is>
          <t>2026-09-25 12:40</t>
        </is>
      </c>
      <c r="L1046" s="6" t="inlineStr">
        <is>
          <t>Válido</t>
        </is>
      </c>
      <c r="M1046" s="2">
        <f>IF(L1046="Válido","Sim","Não")</f>
        <v/>
      </c>
      <c r="N1046" s="2" t="inlineStr"/>
    </row>
    <row r="1047">
      <c r="A1047" s="2" t="inlineStr">
        <is>
          <t>2Bracos_R0100_210W_2026-09-25_12_40.csv</t>
        </is>
      </c>
      <c r="B1047" s="2" t="inlineStr">
        <is>
          <t>210W_3500RPM_R0100</t>
        </is>
      </c>
      <c r="C1047" s="2" t="n">
        <v>210</v>
      </c>
      <c r="D1047" s="2" t="n">
        <v>3500</v>
      </c>
      <c r="E1047" s="3">
        <f>D1047*2/60</f>
        <v/>
      </c>
      <c r="F1047" s="2" t="inlineStr">
        <is>
          <t>0100</t>
        </is>
      </c>
      <c r="G1047" s="2" t="n">
        <v>2</v>
      </c>
      <c r="H1047" s="2">
        <f>INDEX(Parametros!$B$2:$B$9,MATCH(G1047,Parametros!$A$2:$A$9,0))</f>
        <v/>
      </c>
      <c r="I1047" s="4">
        <f>1/(VALUE(MID(F1047,1,1))/Parametros!$E$2+VALUE(MID(F1047,2,1))/Parametros!$E$3+VALUE(MID(F1047,3,1))/Parametros!$E$4+VALUE(MID(F1047,4,1))/Parametros!$E$5)</f>
        <v/>
      </c>
      <c r="J1047" s="5">
        <f>IF(G1047=0,Parametros!$E$8,Parametros!$E$6+Parametros!$E$6*(Parametros!$E$7/G1047+I1047)/(Parametros!$E$6+Parametros!$E$7/G1047+I1047))</f>
        <v/>
      </c>
      <c r="K1047" s="2" t="inlineStr">
        <is>
          <t>2026-09-25 12:40</t>
        </is>
      </c>
      <c r="L1047" s="6" t="inlineStr">
        <is>
          <t>Válido</t>
        </is>
      </c>
      <c r="M1047" s="2">
        <f>IF(L1047="Válido","Sim","Não")</f>
        <v/>
      </c>
      <c r="N1047" s="2" t="inlineStr"/>
    </row>
    <row r="1048">
      <c r="A1048" s="2" t="inlineStr">
        <is>
          <t>1Bracos_R0100_210W_2026-09-25_12_40.csv</t>
        </is>
      </c>
      <c r="B1048" s="2" t="inlineStr">
        <is>
          <t>210W_3500RPM_R0100</t>
        </is>
      </c>
      <c r="C1048" s="2" t="n">
        <v>210</v>
      </c>
      <c r="D1048" s="2" t="n">
        <v>3500</v>
      </c>
      <c r="E1048" s="3">
        <f>D1048*2/60</f>
        <v/>
      </c>
      <c r="F1048" s="2" t="inlineStr">
        <is>
          <t>0100</t>
        </is>
      </c>
      <c r="G1048" s="2" t="n">
        <v>1</v>
      </c>
      <c r="H1048" s="2">
        <f>INDEX(Parametros!$B$2:$B$9,MATCH(G1048,Parametros!$A$2:$A$9,0))</f>
        <v/>
      </c>
      <c r="I1048" s="4">
        <f>1/(VALUE(MID(F1048,1,1))/Parametros!$E$2+VALUE(MID(F1048,2,1))/Parametros!$E$3+VALUE(MID(F1048,3,1))/Parametros!$E$4+VALUE(MID(F1048,4,1))/Parametros!$E$5)</f>
        <v/>
      </c>
      <c r="J1048" s="5">
        <f>IF(G1048=0,Parametros!$E$8,Parametros!$E$6+Parametros!$E$6*(Parametros!$E$7/G1048+I1048)/(Parametros!$E$6+Parametros!$E$7/G1048+I1048))</f>
        <v/>
      </c>
      <c r="K1048" s="2" t="inlineStr">
        <is>
          <t>2026-09-25 12:40</t>
        </is>
      </c>
      <c r="L1048" s="6" t="inlineStr">
        <is>
          <t>Válido</t>
        </is>
      </c>
      <c r="M1048" s="2">
        <f>IF(L1048="Válido","Sim","Não")</f>
        <v/>
      </c>
      <c r="N1048" s="2" t="inlineStr"/>
    </row>
    <row r="1049">
      <c r="A1049" s="2" t="inlineStr">
        <is>
          <t>0Bracos_R0100_210W_2026-09-25_12_40.csv</t>
        </is>
      </c>
      <c r="B1049" s="2" t="inlineStr">
        <is>
          <t>210W_3500RPM_R0100</t>
        </is>
      </c>
      <c r="C1049" s="2" t="n">
        <v>210</v>
      </c>
      <c r="D1049" s="2" t="n">
        <v>3500</v>
      </c>
      <c r="E1049" s="3">
        <f>D1049*2/60</f>
        <v/>
      </c>
      <c r="F1049" s="2" t="inlineStr">
        <is>
          <t>0100</t>
        </is>
      </c>
      <c r="G1049" s="2" t="n">
        <v>0</v>
      </c>
      <c r="H1049" s="2">
        <f>INDEX(Parametros!$B$2:$B$9,MATCH(G1049,Parametros!$A$2:$A$9,0))</f>
        <v/>
      </c>
      <c r="I1049" s="4">
        <f>1/(VALUE(MID(F1049,1,1))/Parametros!$E$2+VALUE(MID(F1049,2,1))/Parametros!$E$3+VALUE(MID(F1049,3,1))/Parametros!$E$4+VALUE(MID(F1049,4,1))/Parametros!$E$5)</f>
        <v/>
      </c>
      <c r="J1049" s="5">
        <f>IF(G1049=0,Parametros!$E$8,Parametros!$E$6+Parametros!$E$6*(Parametros!$E$7/G1049+I1049)/(Parametros!$E$6+Parametros!$E$7/G1049+I1049))</f>
        <v/>
      </c>
      <c r="K1049" s="2" t="inlineStr">
        <is>
          <t>2026-09-25 12:40</t>
        </is>
      </c>
      <c r="L1049" s="6" t="inlineStr">
        <is>
          <t>Válido</t>
        </is>
      </c>
      <c r="M1049" s="2">
        <f>IF(L1049="Válido","Sim","Não")</f>
        <v/>
      </c>
      <c r="N1049" s="2" t="inlineStr"/>
    </row>
    <row r="1050">
      <c r="A1050" s="2" t="inlineStr">
        <is>
          <t>7Bracos_R0101_210W_2026-09-25_12_40.csv</t>
        </is>
      </c>
      <c r="B1050" s="2" t="inlineStr">
        <is>
          <t>210W_3500RPM_R0101</t>
        </is>
      </c>
      <c r="C1050" s="2" t="n">
        <v>210</v>
      </c>
      <c r="D1050" s="2" t="n">
        <v>3500</v>
      </c>
      <c r="E1050" s="3">
        <f>D1050*2/60</f>
        <v/>
      </c>
      <c r="F1050" s="2" t="inlineStr">
        <is>
          <t>0101</t>
        </is>
      </c>
      <c r="G1050" s="2" t="n">
        <v>7</v>
      </c>
      <c r="H1050" s="2">
        <f>INDEX(Parametros!$B$2:$B$9,MATCH(G1050,Parametros!$A$2:$A$9,0))</f>
        <v/>
      </c>
      <c r="I1050" s="4">
        <f>1/(VALUE(MID(F1050,1,1))/Parametros!$E$2+VALUE(MID(F1050,2,1))/Parametros!$E$3+VALUE(MID(F1050,3,1))/Parametros!$E$4+VALUE(MID(F1050,4,1))/Parametros!$E$5)</f>
        <v/>
      </c>
      <c r="J1050" s="5">
        <f>IF(G1050=0,Parametros!$E$8,Parametros!$E$6+Parametros!$E$6*(Parametros!$E$7/G1050+I1050)/(Parametros!$E$6+Parametros!$E$7/G1050+I1050))</f>
        <v/>
      </c>
      <c r="K1050" s="2" t="inlineStr">
        <is>
          <t>2026-09-25 12:40</t>
        </is>
      </c>
      <c r="L1050" s="6" t="inlineStr">
        <is>
          <t>Válido</t>
        </is>
      </c>
      <c r="M1050" s="2">
        <f>IF(L1050="Válido","Sim","Não")</f>
        <v/>
      </c>
      <c r="N1050" s="2" t="inlineStr"/>
    </row>
    <row r="1051">
      <c r="A1051" s="2" t="inlineStr">
        <is>
          <t>6Bracos_R0101_210W_2026-09-25_12_40.csv</t>
        </is>
      </c>
      <c r="B1051" s="2" t="inlineStr">
        <is>
          <t>210W_3500RPM_R0101</t>
        </is>
      </c>
      <c r="C1051" s="2" t="n">
        <v>210</v>
      </c>
      <c r="D1051" s="2" t="n">
        <v>3500</v>
      </c>
      <c r="E1051" s="3">
        <f>D1051*2/60</f>
        <v/>
      </c>
      <c r="F1051" s="2" t="inlineStr">
        <is>
          <t>0101</t>
        </is>
      </c>
      <c r="G1051" s="2" t="n">
        <v>6</v>
      </c>
      <c r="H1051" s="2">
        <f>INDEX(Parametros!$B$2:$B$9,MATCH(G1051,Parametros!$A$2:$A$9,0))</f>
        <v/>
      </c>
      <c r="I1051" s="4">
        <f>1/(VALUE(MID(F1051,1,1))/Parametros!$E$2+VALUE(MID(F1051,2,1))/Parametros!$E$3+VALUE(MID(F1051,3,1))/Parametros!$E$4+VALUE(MID(F1051,4,1))/Parametros!$E$5)</f>
        <v/>
      </c>
      <c r="J1051" s="5">
        <f>IF(G1051=0,Parametros!$E$8,Parametros!$E$6+Parametros!$E$6*(Parametros!$E$7/G1051+I1051)/(Parametros!$E$6+Parametros!$E$7/G1051+I1051))</f>
        <v/>
      </c>
      <c r="K1051" s="2" t="inlineStr">
        <is>
          <t>2026-09-25 12:40</t>
        </is>
      </c>
      <c r="L1051" s="6" t="inlineStr">
        <is>
          <t>Válido</t>
        </is>
      </c>
      <c r="M1051" s="2">
        <f>IF(L1051="Válido","Sim","Não")</f>
        <v/>
      </c>
      <c r="N1051" s="2" t="inlineStr"/>
    </row>
    <row r="1052">
      <c r="A1052" s="2" t="inlineStr">
        <is>
          <t>5Bracos_R0101_210W_2026-09-25_12_40.csv</t>
        </is>
      </c>
      <c r="B1052" s="2" t="inlineStr">
        <is>
          <t>210W_3500RPM_R0101</t>
        </is>
      </c>
      <c r="C1052" s="2" t="n">
        <v>210</v>
      </c>
      <c r="D1052" s="2" t="n">
        <v>3500</v>
      </c>
      <c r="E1052" s="3">
        <f>D1052*2/60</f>
        <v/>
      </c>
      <c r="F1052" s="2" t="inlineStr">
        <is>
          <t>0101</t>
        </is>
      </c>
      <c r="G1052" s="2" t="n">
        <v>5</v>
      </c>
      <c r="H1052" s="2">
        <f>INDEX(Parametros!$B$2:$B$9,MATCH(G1052,Parametros!$A$2:$A$9,0))</f>
        <v/>
      </c>
      <c r="I1052" s="4">
        <f>1/(VALUE(MID(F1052,1,1))/Parametros!$E$2+VALUE(MID(F1052,2,1))/Parametros!$E$3+VALUE(MID(F1052,3,1))/Parametros!$E$4+VALUE(MID(F1052,4,1))/Parametros!$E$5)</f>
        <v/>
      </c>
      <c r="J1052" s="5">
        <f>IF(G1052=0,Parametros!$E$8,Parametros!$E$6+Parametros!$E$6*(Parametros!$E$7/G1052+I1052)/(Parametros!$E$6+Parametros!$E$7/G1052+I1052))</f>
        <v/>
      </c>
      <c r="K1052" s="2" t="inlineStr">
        <is>
          <t>2026-09-25 12:40</t>
        </is>
      </c>
      <c r="L1052" s="6" t="inlineStr">
        <is>
          <t>Válido</t>
        </is>
      </c>
      <c r="M1052" s="2">
        <f>IF(L1052="Válido","Sim","Não")</f>
        <v/>
      </c>
      <c r="N1052" s="2" t="inlineStr"/>
    </row>
    <row r="1053">
      <c r="A1053" s="2" t="inlineStr">
        <is>
          <t>4Bracos_R0101_210W_2026-09-25_12_40.csv</t>
        </is>
      </c>
      <c r="B1053" s="2" t="inlineStr">
        <is>
          <t>210W_3500RPM_R0101</t>
        </is>
      </c>
      <c r="C1053" s="2" t="n">
        <v>210</v>
      </c>
      <c r="D1053" s="2" t="n">
        <v>3500</v>
      </c>
      <c r="E1053" s="3">
        <f>D1053*2/60</f>
        <v/>
      </c>
      <c r="F1053" s="2" t="inlineStr">
        <is>
          <t>0101</t>
        </is>
      </c>
      <c r="G1053" s="2" t="n">
        <v>4</v>
      </c>
      <c r="H1053" s="2">
        <f>INDEX(Parametros!$B$2:$B$9,MATCH(G1053,Parametros!$A$2:$A$9,0))</f>
        <v/>
      </c>
      <c r="I1053" s="4">
        <f>1/(VALUE(MID(F1053,1,1))/Parametros!$E$2+VALUE(MID(F1053,2,1))/Parametros!$E$3+VALUE(MID(F1053,3,1))/Parametros!$E$4+VALUE(MID(F1053,4,1))/Parametros!$E$5)</f>
        <v/>
      </c>
      <c r="J1053" s="5">
        <f>IF(G1053=0,Parametros!$E$8,Parametros!$E$6+Parametros!$E$6*(Parametros!$E$7/G1053+I1053)/(Parametros!$E$6+Parametros!$E$7/G1053+I1053))</f>
        <v/>
      </c>
      <c r="K1053" s="2" t="inlineStr">
        <is>
          <t>2026-09-25 12:40</t>
        </is>
      </c>
      <c r="L1053" s="6" t="inlineStr">
        <is>
          <t>Válido</t>
        </is>
      </c>
      <c r="M1053" s="2">
        <f>IF(L1053="Válido","Sim","Não")</f>
        <v/>
      </c>
      <c r="N1053" s="2" t="inlineStr"/>
    </row>
    <row r="1054">
      <c r="A1054" s="2" t="inlineStr">
        <is>
          <t>3Bracos_R0101_210W_2026-09-25_12_40.csv</t>
        </is>
      </c>
      <c r="B1054" s="2" t="inlineStr">
        <is>
          <t>210W_3500RPM_R0101</t>
        </is>
      </c>
      <c r="C1054" s="2" t="n">
        <v>210</v>
      </c>
      <c r="D1054" s="2" t="n">
        <v>3500</v>
      </c>
      <c r="E1054" s="3">
        <f>D1054*2/60</f>
        <v/>
      </c>
      <c r="F1054" s="2" t="inlineStr">
        <is>
          <t>0101</t>
        </is>
      </c>
      <c r="G1054" s="2" t="n">
        <v>3</v>
      </c>
      <c r="H1054" s="2">
        <f>INDEX(Parametros!$B$2:$B$9,MATCH(G1054,Parametros!$A$2:$A$9,0))</f>
        <v/>
      </c>
      <c r="I1054" s="4">
        <f>1/(VALUE(MID(F1054,1,1))/Parametros!$E$2+VALUE(MID(F1054,2,1))/Parametros!$E$3+VALUE(MID(F1054,3,1))/Parametros!$E$4+VALUE(MID(F1054,4,1))/Parametros!$E$5)</f>
        <v/>
      </c>
      <c r="J1054" s="5">
        <f>IF(G1054=0,Parametros!$E$8,Parametros!$E$6+Parametros!$E$6*(Parametros!$E$7/G1054+I1054)/(Parametros!$E$6+Parametros!$E$7/G1054+I1054))</f>
        <v/>
      </c>
      <c r="K1054" s="2" t="inlineStr">
        <is>
          <t>2026-09-25 12:40</t>
        </is>
      </c>
      <c r="L1054" s="6" t="inlineStr">
        <is>
          <t>Válido</t>
        </is>
      </c>
      <c r="M1054" s="2">
        <f>IF(L1054="Válido","Sim","Não")</f>
        <v/>
      </c>
      <c r="N1054" s="2" t="inlineStr"/>
    </row>
    <row r="1055">
      <c r="A1055" s="2" t="inlineStr">
        <is>
          <t>2Bracos_R0101_210W_2026-09-25_12_40.csv</t>
        </is>
      </c>
      <c r="B1055" s="2" t="inlineStr">
        <is>
          <t>210W_3500RPM_R0101</t>
        </is>
      </c>
      <c r="C1055" s="2" t="n">
        <v>210</v>
      </c>
      <c r="D1055" s="2" t="n">
        <v>3500</v>
      </c>
      <c r="E1055" s="3">
        <f>D1055*2/60</f>
        <v/>
      </c>
      <c r="F1055" s="2" t="inlineStr">
        <is>
          <t>0101</t>
        </is>
      </c>
      <c r="G1055" s="2" t="n">
        <v>2</v>
      </c>
      <c r="H1055" s="2">
        <f>INDEX(Parametros!$B$2:$B$9,MATCH(G1055,Parametros!$A$2:$A$9,0))</f>
        <v/>
      </c>
      <c r="I1055" s="4">
        <f>1/(VALUE(MID(F1055,1,1))/Parametros!$E$2+VALUE(MID(F1055,2,1))/Parametros!$E$3+VALUE(MID(F1055,3,1))/Parametros!$E$4+VALUE(MID(F1055,4,1))/Parametros!$E$5)</f>
        <v/>
      </c>
      <c r="J1055" s="5">
        <f>IF(G1055=0,Parametros!$E$8,Parametros!$E$6+Parametros!$E$6*(Parametros!$E$7/G1055+I1055)/(Parametros!$E$6+Parametros!$E$7/G1055+I1055))</f>
        <v/>
      </c>
      <c r="K1055" s="2" t="inlineStr">
        <is>
          <t>2026-09-25 12:40</t>
        </is>
      </c>
      <c r="L1055" s="6" t="inlineStr">
        <is>
          <t>Válido</t>
        </is>
      </c>
      <c r="M1055" s="2">
        <f>IF(L1055="Válido","Sim","Não")</f>
        <v/>
      </c>
      <c r="N1055" s="2" t="inlineStr"/>
    </row>
    <row r="1056">
      <c r="A1056" s="2" t="inlineStr">
        <is>
          <t>1Bracos_R0101_210W_2026-09-25_12_40.csv</t>
        </is>
      </c>
      <c r="B1056" s="2" t="inlineStr">
        <is>
          <t>210W_3500RPM_R0101</t>
        </is>
      </c>
      <c r="C1056" s="2" t="n">
        <v>210</v>
      </c>
      <c r="D1056" s="2" t="n">
        <v>3500</v>
      </c>
      <c r="E1056" s="3">
        <f>D1056*2/60</f>
        <v/>
      </c>
      <c r="F1056" s="2" t="inlineStr">
        <is>
          <t>0101</t>
        </is>
      </c>
      <c r="G1056" s="2" t="n">
        <v>1</v>
      </c>
      <c r="H1056" s="2">
        <f>INDEX(Parametros!$B$2:$B$9,MATCH(G1056,Parametros!$A$2:$A$9,0))</f>
        <v/>
      </c>
      <c r="I1056" s="4">
        <f>1/(VALUE(MID(F1056,1,1))/Parametros!$E$2+VALUE(MID(F1056,2,1))/Parametros!$E$3+VALUE(MID(F1056,3,1))/Parametros!$E$4+VALUE(MID(F1056,4,1))/Parametros!$E$5)</f>
        <v/>
      </c>
      <c r="J1056" s="5">
        <f>IF(G1056=0,Parametros!$E$8,Parametros!$E$6+Parametros!$E$6*(Parametros!$E$7/G1056+I1056)/(Parametros!$E$6+Parametros!$E$7/G1056+I1056))</f>
        <v/>
      </c>
      <c r="K1056" s="2" t="inlineStr">
        <is>
          <t>2026-09-25 12:40</t>
        </is>
      </c>
      <c r="L1056" s="6" t="inlineStr">
        <is>
          <t>Válido</t>
        </is>
      </c>
      <c r="M1056" s="2">
        <f>IF(L1056="Válido","Sim","Não")</f>
        <v/>
      </c>
      <c r="N1056" s="2" t="inlineStr"/>
    </row>
    <row r="1057">
      <c r="A1057" s="2" t="inlineStr">
        <is>
          <t>0Bracos_R0101_210W_2026-09-25_12_40.csv</t>
        </is>
      </c>
      <c r="B1057" s="2" t="inlineStr">
        <is>
          <t>210W_3500RPM_R0101</t>
        </is>
      </c>
      <c r="C1057" s="2" t="n">
        <v>210</v>
      </c>
      <c r="D1057" s="2" t="n">
        <v>3500</v>
      </c>
      <c r="E1057" s="3">
        <f>D1057*2/60</f>
        <v/>
      </c>
      <c r="F1057" s="2" t="inlineStr">
        <is>
          <t>0101</t>
        </is>
      </c>
      <c r="G1057" s="2" t="n">
        <v>0</v>
      </c>
      <c r="H1057" s="2">
        <f>INDEX(Parametros!$B$2:$B$9,MATCH(G1057,Parametros!$A$2:$A$9,0))</f>
        <v/>
      </c>
      <c r="I1057" s="4">
        <f>1/(VALUE(MID(F1057,1,1))/Parametros!$E$2+VALUE(MID(F1057,2,1))/Parametros!$E$3+VALUE(MID(F1057,3,1))/Parametros!$E$4+VALUE(MID(F1057,4,1))/Parametros!$E$5)</f>
        <v/>
      </c>
      <c r="J1057" s="5">
        <f>IF(G1057=0,Parametros!$E$8,Parametros!$E$6+Parametros!$E$6*(Parametros!$E$7/G1057+I1057)/(Parametros!$E$6+Parametros!$E$7/G1057+I1057))</f>
        <v/>
      </c>
      <c r="K1057" s="2" t="inlineStr">
        <is>
          <t>2026-09-25 12:40</t>
        </is>
      </c>
      <c r="L1057" s="6" t="inlineStr">
        <is>
          <t>Válido</t>
        </is>
      </c>
      <c r="M1057" s="2">
        <f>IF(L1057="Válido","Sim","Não")</f>
        <v/>
      </c>
      <c r="N1057" s="2" t="inlineStr"/>
    </row>
    <row r="1058">
      <c r="A1058" s="2" t="inlineStr">
        <is>
          <t>7Bracos_R0110_210W_2026-09-25_12_40.csv</t>
        </is>
      </c>
      <c r="B1058" s="2" t="inlineStr">
        <is>
          <t>210W_3500RPM_R0110</t>
        </is>
      </c>
      <c r="C1058" s="2" t="n">
        <v>210</v>
      </c>
      <c r="D1058" s="2" t="n">
        <v>3500</v>
      </c>
      <c r="E1058" s="3">
        <f>D1058*2/60</f>
        <v/>
      </c>
      <c r="F1058" s="2" t="inlineStr">
        <is>
          <t>0110</t>
        </is>
      </c>
      <c r="G1058" s="2" t="n">
        <v>7</v>
      </c>
      <c r="H1058" s="2">
        <f>INDEX(Parametros!$B$2:$B$9,MATCH(G1058,Parametros!$A$2:$A$9,0))</f>
        <v/>
      </c>
      <c r="I1058" s="4">
        <f>1/(VALUE(MID(F1058,1,1))/Parametros!$E$2+VALUE(MID(F1058,2,1))/Parametros!$E$3+VALUE(MID(F1058,3,1))/Parametros!$E$4+VALUE(MID(F1058,4,1))/Parametros!$E$5)</f>
        <v/>
      </c>
      <c r="J1058" s="5">
        <f>IF(G1058=0,Parametros!$E$8,Parametros!$E$6+Parametros!$E$6*(Parametros!$E$7/G1058+I1058)/(Parametros!$E$6+Parametros!$E$7/G1058+I1058))</f>
        <v/>
      </c>
      <c r="K1058" s="2" t="inlineStr">
        <is>
          <t>2026-09-25 12:40</t>
        </is>
      </c>
      <c r="L1058" s="6" t="inlineStr">
        <is>
          <t>Válido</t>
        </is>
      </c>
      <c r="M1058" s="2">
        <f>IF(L1058="Válido","Sim","Não")</f>
        <v/>
      </c>
      <c r="N1058" s="2" t="inlineStr"/>
    </row>
    <row r="1059">
      <c r="A1059" s="2" t="inlineStr">
        <is>
          <t>6Bracos_R0110_210W_2026-09-25_12_40.csv</t>
        </is>
      </c>
      <c r="B1059" s="2" t="inlineStr">
        <is>
          <t>210W_3500RPM_R0110</t>
        </is>
      </c>
      <c r="C1059" s="2" t="n">
        <v>210</v>
      </c>
      <c r="D1059" s="2" t="n">
        <v>3500</v>
      </c>
      <c r="E1059" s="3">
        <f>D1059*2/60</f>
        <v/>
      </c>
      <c r="F1059" s="2" t="inlineStr">
        <is>
          <t>0110</t>
        </is>
      </c>
      <c r="G1059" s="2" t="n">
        <v>6</v>
      </c>
      <c r="H1059" s="2">
        <f>INDEX(Parametros!$B$2:$B$9,MATCH(G1059,Parametros!$A$2:$A$9,0))</f>
        <v/>
      </c>
      <c r="I1059" s="4">
        <f>1/(VALUE(MID(F1059,1,1))/Parametros!$E$2+VALUE(MID(F1059,2,1))/Parametros!$E$3+VALUE(MID(F1059,3,1))/Parametros!$E$4+VALUE(MID(F1059,4,1))/Parametros!$E$5)</f>
        <v/>
      </c>
      <c r="J1059" s="5">
        <f>IF(G1059=0,Parametros!$E$8,Parametros!$E$6+Parametros!$E$6*(Parametros!$E$7/G1059+I1059)/(Parametros!$E$6+Parametros!$E$7/G1059+I1059))</f>
        <v/>
      </c>
      <c r="K1059" s="2" t="inlineStr">
        <is>
          <t>2026-09-25 12:40</t>
        </is>
      </c>
      <c r="L1059" s="6" t="inlineStr">
        <is>
          <t>Válido</t>
        </is>
      </c>
      <c r="M1059" s="2">
        <f>IF(L1059="Válido","Sim","Não")</f>
        <v/>
      </c>
      <c r="N1059" s="2" t="inlineStr"/>
    </row>
    <row r="1060">
      <c r="A1060" s="2" t="inlineStr">
        <is>
          <t>5Bracos_R0110_210W_2026-09-25_12_40.csv</t>
        </is>
      </c>
      <c r="B1060" s="2" t="inlineStr">
        <is>
          <t>210W_3500RPM_R0110</t>
        </is>
      </c>
      <c r="C1060" s="2" t="n">
        <v>210</v>
      </c>
      <c r="D1060" s="2" t="n">
        <v>3500</v>
      </c>
      <c r="E1060" s="3">
        <f>D1060*2/60</f>
        <v/>
      </c>
      <c r="F1060" s="2" t="inlineStr">
        <is>
          <t>0110</t>
        </is>
      </c>
      <c r="G1060" s="2" t="n">
        <v>5</v>
      </c>
      <c r="H1060" s="2">
        <f>INDEX(Parametros!$B$2:$B$9,MATCH(G1060,Parametros!$A$2:$A$9,0))</f>
        <v/>
      </c>
      <c r="I1060" s="4">
        <f>1/(VALUE(MID(F1060,1,1))/Parametros!$E$2+VALUE(MID(F1060,2,1))/Parametros!$E$3+VALUE(MID(F1060,3,1))/Parametros!$E$4+VALUE(MID(F1060,4,1))/Parametros!$E$5)</f>
        <v/>
      </c>
      <c r="J1060" s="5">
        <f>IF(G1060=0,Parametros!$E$8,Parametros!$E$6+Parametros!$E$6*(Parametros!$E$7/G1060+I1060)/(Parametros!$E$6+Parametros!$E$7/G1060+I1060))</f>
        <v/>
      </c>
      <c r="K1060" s="2" t="inlineStr">
        <is>
          <t>2026-09-25 12:40</t>
        </is>
      </c>
      <c r="L1060" s="6" t="inlineStr">
        <is>
          <t>Válido</t>
        </is>
      </c>
      <c r="M1060" s="2">
        <f>IF(L1060="Válido","Sim","Não")</f>
        <v/>
      </c>
      <c r="N1060" s="2" t="inlineStr"/>
    </row>
    <row r="1061">
      <c r="A1061" s="2" t="inlineStr">
        <is>
          <t>4Bracos_R0110_210W_2026-09-25_12_40.csv</t>
        </is>
      </c>
      <c r="B1061" s="2" t="inlineStr">
        <is>
          <t>210W_3500RPM_R0110</t>
        </is>
      </c>
      <c r="C1061" s="2" t="n">
        <v>210</v>
      </c>
      <c r="D1061" s="2" t="n">
        <v>3500</v>
      </c>
      <c r="E1061" s="3">
        <f>D1061*2/60</f>
        <v/>
      </c>
      <c r="F1061" s="2" t="inlineStr">
        <is>
          <t>0110</t>
        </is>
      </c>
      <c r="G1061" s="2" t="n">
        <v>4</v>
      </c>
      <c r="H1061" s="2">
        <f>INDEX(Parametros!$B$2:$B$9,MATCH(G1061,Parametros!$A$2:$A$9,0))</f>
        <v/>
      </c>
      <c r="I1061" s="4">
        <f>1/(VALUE(MID(F1061,1,1))/Parametros!$E$2+VALUE(MID(F1061,2,1))/Parametros!$E$3+VALUE(MID(F1061,3,1))/Parametros!$E$4+VALUE(MID(F1061,4,1))/Parametros!$E$5)</f>
        <v/>
      </c>
      <c r="J1061" s="5">
        <f>IF(G1061=0,Parametros!$E$8,Parametros!$E$6+Parametros!$E$6*(Parametros!$E$7/G1061+I1061)/(Parametros!$E$6+Parametros!$E$7/G1061+I1061))</f>
        <v/>
      </c>
      <c r="K1061" s="2" t="inlineStr">
        <is>
          <t>2026-09-25 12:40</t>
        </is>
      </c>
      <c r="L1061" s="6" t="inlineStr">
        <is>
          <t>Válido</t>
        </is>
      </c>
      <c r="M1061" s="2">
        <f>IF(L1061="Válido","Sim","Não")</f>
        <v/>
      </c>
      <c r="N1061" s="2" t="inlineStr"/>
    </row>
    <row r="1062">
      <c r="A1062" s="2" t="inlineStr">
        <is>
          <t>3Bracos_R0110_210W_2026-09-25_12_40.csv</t>
        </is>
      </c>
      <c r="B1062" s="2" t="inlineStr">
        <is>
          <t>210W_3500RPM_R0110</t>
        </is>
      </c>
      <c r="C1062" s="2" t="n">
        <v>210</v>
      </c>
      <c r="D1062" s="2" t="n">
        <v>3500</v>
      </c>
      <c r="E1062" s="3">
        <f>D1062*2/60</f>
        <v/>
      </c>
      <c r="F1062" s="2" t="inlineStr">
        <is>
          <t>0110</t>
        </is>
      </c>
      <c r="G1062" s="2" t="n">
        <v>3</v>
      </c>
      <c r="H1062" s="2">
        <f>INDEX(Parametros!$B$2:$B$9,MATCH(G1062,Parametros!$A$2:$A$9,0))</f>
        <v/>
      </c>
      <c r="I1062" s="4">
        <f>1/(VALUE(MID(F1062,1,1))/Parametros!$E$2+VALUE(MID(F1062,2,1))/Parametros!$E$3+VALUE(MID(F1062,3,1))/Parametros!$E$4+VALUE(MID(F1062,4,1))/Parametros!$E$5)</f>
        <v/>
      </c>
      <c r="J1062" s="5">
        <f>IF(G1062=0,Parametros!$E$8,Parametros!$E$6+Parametros!$E$6*(Parametros!$E$7/G1062+I1062)/(Parametros!$E$6+Parametros!$E$7/G1062+I1062))</f>
        <v/>
      </c>
      <c r="K1062" s="2" t="inlineStr">
        <is>
          <t>2026-09-25 12:40</t>
        </is>
      </c>
      <c r="L1062" s="6" t="inlineStr">
        <is>
          <t>Válido</t>
        </is>
      </c>
      <c r="M1062" s="2">
        <f>IF(L1062="Válido","Sim","Não")</f>
        <v/>
      </c>
      <c r="N1062" s="2" t="inlineStr"/>
    </row>
    <row r="1063">
      <c r="A1063" s="2" t="inlineStr">
        <is>
          <t>2Bracos_R0110_210W_2026-09-25_12_40.csv</t>
        </is>
      </c>
      <c r="B1063" s="2" t="inlineStr">
        <is>
          <t>210W_3500RPM_R0110</t>
        </is>
      </c>
      <c r="C1063" s="2" t="n">
        <v>210</v>
      </c>
      <c r="D1063" s="2" t="n">
        <v>3500</v>
      </c>
      <c r="E1063" s="3">
        <f>D1063*2/60</f>
        <v/>
      </c>
      <c r="F1063" s="2" t="inlineStr">
        <is>
          <t>0110</t>
        </is>
      </c>
      <c r="G1063" s="2" t="n">
        <v>2</v>
      </c>
      <c r="H1063" s="2">
        <f>INDEX(Parametros!$B$2:$B$9,MATCH(G1063,Parametros!$A$2:$A$9,0))</f>
        <v/>
      </c>
      <c r="I1063" s="4">
        <f>1/(VALUE(MID(F1063,1,1))/Parametros!$E$2+VALUE(MID(F1063,2,1))/Parametros!$E$3+VALUE(MID(F1063,3,1))/Parametros!$E$4+VALUE(MID(F1063,4,1))/Parametros!$E$5)</f>
        <v/>
      </c>
      <c r="J1063" s="5">
        <f>IF(G1063=0,Parametros!$E$8,Parametros!$E$6+Parametros!$E$6*(Parametros!$E$7/G1063+I1063)/(Parametros!$E$6+Parametros!$E$7/G1063+I1063))</f>
        <v/>
      </c>
      <c r="K1063" s="2" t="inlineStr">
        <is>
          <t>2026-09-25 12:40</t>
        </is>
      </c>
      <c r="L1063" s="6" t="inlineStr">
        <is>
          <t>Válido</t>
        </is>
      </c>
      <c r="M1063" s="2">
        <f>IF(L1063="Válido","Sim","Não")</f>
        <v/>
      </c>
      <c r="N1063" s="2" t="inlineStr"/>
    </row>
    <row r="1064">
      <c r="A1064" s="2" t="inlineStr">
        <is>
          <t>1Bracos_R0110_210W_2026-09-25_12_40.csv</t>
        </is>
      </c>
      <c r="B1064" s="2" t="inlineStr">
        <is>
          <t>210W_3500RPM_R0110</t>
        </is>
      </c>
      <c r="C1064" s="2" t="n">
        <v>210</v>
      </c>
      <c r="D1064" s="2" t="n">
        <v>3500</v>
      </c>
      <c r="E1064" s="3">
        <f>D1064*2/60</f>
        <v/>
      </c>
      <c r="F1064" s="2" t="inlineStr">
        <is>
          <t>0110</t>
        </is>
      </c>
      <c r="G1064" s="2" t="n">
        <v>1</v>
      </c>
      <c r="H1064" s="2">
        <f>INDEX(Parametros!$B$2:$B$9,MATCH(G1064,Parametros!$A$2:$A$9,0))</f>
        <v/>
      </c>
      <c r="I1064" s="4">
        <f>1/(VALUE(MID(F1064,1,1))/Parametros!$E$2+VALUE(MID(F1064,2,1))/Parametros!$E$3+VALUE(MID(F1064,3,1))/Parametros!$E$4+VALUE(MID(F1064,4,1))/Parametros!$E$5)</f>
        <v/>
      </c>
      <c r="J1064" s="5">
        <f>IF(G1064=0,Parametros!$E$8,Parametros!$E$6+Parametros!$E$6*(Parametros!$E$7/G1064+I1064)/(Parametros!$E$6+Parametros!$E$7/G1064+I1064))</f>
        <v/>
      </c>
      <c r="K1064" s="2" t="inlineStr">
        <is>
          <t>2026-09-25 12:40</t>
        </is>
      </c>
      <c r="L1064" s="6" t="inlineStr">
        <is>
          <t>Válido</t>
        </is>
      </c>
      <c r="M1064" s="2">
        <f>IF(L1064="Válido","Sim","Não")</f>
        <v/>
      </c>
      <c r="N1064" s="2" t="inlineStr"/>
    </row>
    <row r="1065">
      <c r="A1065" s="2" t="inlineStr">
        <is>
          <t>0Bracos_R0110_210W_2026-09-25_12_40.csv</t>
        </is>
      </c>
      <c r="B1065" s="2" t="inlineStr">
        <is>
          <t>210W_3500RPM_R0110</t>
        </is>
      </c>
      <c r="C1065" s="2" t="n">
        <v>210</v>
      </c>
      <c r="D1065" s="2" t="n">
        <v>3500</v>
      </c>
      <c r="E1065" s="3">
        <f>D1065*2/60</f>
        <v/>
      </c>
      <c r="F1065" s="2" t="inlineStr">
        <is>
          <t>0110</t>
        </is>
      </c>
      <c r="G1065" s="2" t="n">
        <v>0</v>
      </c>
      <c r="H1065" s="2">
        <f>INDEX(Parametros!$B$2:$B$9,MATCH(G1065,Parametros!$A$2:$A$9,0))</f>
        <v/>
      </c>
      <c r="I1065" s="4">
        <f>1/(VALUE(MID(F1065,1,1))/Parametros!$E$2+VALUE(MID(F1065,2,1))/Parametros!$E$3+VALUE(MID(F1065,3,1))/Parametros!$E$4+VALUE(MID(F1065,4,1))/Parametros!$E$5)</f>
        <v/>
      </c>
      <c r="J1065" s="5">
        <f>IF(G1065=0,Parametros!$E$8,Parametros!$E$6+Parametros!$E$6*(Parametros!$E$7/G1065+I1065)/(Parametros!$E$6+Parametros!$E$7/G1065+I1065))</f>
        <v/>
      </c>
      <c r="K1065" s="2" t="inlineStr">
        <is>
          <t>2026-09-25 12:40</t>
        </is>
      </c>
      <c r="L1065" s="6" t="inlineStr">
        <is>
          <t>Válido</t>
        </is>
      </c>
      <c r="M1065" s="2">
        <f>IF(L1065="Válido","Sim","Não")</f>
        <v/>
      </c>
      <c r="N1065" s="2" t="inlineStr"/>
    </row>
    <row r="1066">
      <c r="A1066" s="2" t="inlineStr">
        <is>
          <t>7Bracos_R0111_210W_2026-09-25_12_40.csv</t>
        </is>
      </c>
      <c r="B1066" s="2" t="inlineStr">
        <is>
          <t>210W_3500RPM_R0111</t>
        </is>
      </c>
      <c r="C1066" s="2" t="n">
        <v>210</v>
      </c>
      <c r="D1066" s="2" t="n">
        <v>3500</v>
      </c>
      <c r="E1066" s="3">
        <f>D1066*2/60</f>
        <v/>
      </c>
      <c r="F1066" s="2" t="inlineStr">
        <is>
          <t>0111</t>
        </is>
      </c>
      <c r="G1066" s="2" t="n">
        <v>7</v>
      </c>
      <c r="H1066" s="2">
        <f>INDEX(Parametros!$B$2:$B$9,MATCH(G1066,Parametros!$A$2:$A$9,0))</f>
        <v/>
      </c>
      <c r="I1066" s="4">
        <f>1/(VALUE(MID(F1066,1,1))/Parametros!$E$2+VALUE(MID(F1066,2,1))/Parametros!$E$3+VALUE(MID(F1066,3,1))/Parametros!$E$4+VALUE(MID(F1066,4,1))/Parametros!$E$5)</f>
        <v/>
      </c>
      <c r="J1066" s="5">
        <f>IF(G1066=0,Parametros!$E$8,Parametros!$E$6+Parametros!$E$6*(Parametros!$E$7/G1066+I1066)/(Parametros!$E$6+Parametros!$E$7/G1066+I1066))</f>
        <v/>
      </c>
      <c r="K1066" s="2" t="inlineStr">
        <is>
          <t>2026-09-25 12:40</t>
        </is>
      </c>
      <c r="L1066" s="6" t="inlineStr">
        <is>
          <t>Válido</t>
        </is>
      </c>
      <c r="M1066" s="2">
        <f>IF(L1066="Válido","Sim","Não")</f>
        <v/>
      </c>
      <c r="N1066" s="2" t="inlineStr"/>
    </row>
    <row r="1067">
      <c r="A1067" s="2" t="inlineStr">
        <is>
          <t>6Bracos_R0111_210W_2026-09-25_12_40.csv</t>
        </is>
      </c>
      <c r="B1067" s="2" t="inlineStr">
        <is>
          <t>210W_3500RPM_R0111</t>
        </is>
      </c>
      <c r="C1067" s="2" t="n">
        <v>210</v>
      </c>
      <c r="D1067" s="2" t="n">
        <v>3500</v>
      </c>
      <c r="E1067" s="3">
        <f>D1067*2/60</f>
        <v/>
      </c>
      <c r="F1067" s="2" t="inlineStr">
        <is>
          <t>0111</t>
        </is>
      </c>
      <c r="G1067" s="2" t="n">
        <v>6</v>
      </c>
      <c r="H1067" s="2">
        <f>INDEX(Parametros!$B$2:$B$9,MATCH(G1067,Parametros!$A$2:$A$9,0))</f>
        <v/>
      </c>
      <c r="I1067" s="4">
        <f>1/(VALUE(MID(F1067,1,1))/Parametros!$E$2+VALUE(MID(F1067,2,1))/Parametros!$E$3+VALUE(MID(F1067,3,1))/Parametros!$E$4+VALUE(MID(F1067,4,1))/Parametros!$E$5)</f>
        <v/>
      </c>
      <c r="J1067" s="5">
        <f>IF(G1067=0,Parametros!$E$8,Parametros!$E$6+Parametros!$E$6*(Parametros!$E$7/G1067+I1067)/(Parametros!$E$6+Parametros!$E$7/G1067+I1067))</f>
        <v/>
      </c>
      <c r="K1067" s="2" t="inlineStr">
        <is>
          <t>2026-09-25 12:40</t>
        </is>
      </c>
      <c r="L1067" s="6" t="inlineStr">
        <is>
          <t>Válido</t>
        </is>
      </c>
      <c r="M1067" s="2">
        <f>IF(L1067="Válido","Sim","Não")</f>
        <v/>
      </c>
      <c r="N1067" s="2" t="inlineStr"/>
    </row>
    <row r="1068">
      <c r="A1068" s="2" t="inlineStr">
        <is>
          <t>5Bracos_R0111_210W_2026-09-25_12_40.csv</t>
        </is>
      </c>
      <c r="B1068" s="2" t="inlineStr">
        <is>
          <t>210W_3500RPM_R0111</t>
        </is>
      </c>
      <c r="C1068" s="2" t="n">
        <v>210</v>
      </c>
      <c r="D1068" s="2" t="n">
        <v>3500</v>
      </c>
      <c r="E1068" s="3">
        <f>D1068*2/60</f>
        <v/>
      </c>
      <c r="F1068" s="2" t="inlineStr">
        <is>
          <t>0111</t>
        </is>
      </c>
      <c r="G1068" s="2" t="n">
        <v>5</v>
      </c>
      <c r="H1068" s="2">
        <f>INDEX(Parametros!$B$2:$B$9,MATCH(G1068,Parametros!$A$2:$A$9,0))</f>
        <v/>
      </c>
      <c r="I1068" s="4">
        <f>1/(VALUE(MID(F1068,1,1))/Parametros!$E$2+VALUE(MID(F1068,2,1))/Parametros!$E$3+VALUE(MID(F1068,3,1))/Parametros!$E$4+VALUE(MID(F1068,4,1))/Parametros!$E$5)</f>
        <v/>
      </c>
      <c r="J1068" s="5">
        <f>IF(G1068=0,Parametros!$E$8,Parametros!$E$6+Parametros!$E$6*(Parametros!$E$7/G1068+I1068)/(Parametros!$E$6+Parametros!$E$7/G1068+I1068))</f>
        <v/>
      </c>
      <c r="K1068" s="2" t="inlineStr">
        <is>
          <t>2026-09-25 12:40</t>
        </is>
      </c>
      <c r="L1068" s="6" t="inlineStr">
        <is>
          <t>Válido</t>
        </is>
      </c>
      <c r="M1068" s="2">
        <f>IF(L1068="Válido","Sim","Não")</f>
        <v/>
      </c>
      <c r="N1068" s="2" t="inlineStr"/>
    </row>
    <row r="1069">
      <c r="A1069" s="2" t="inlineStr">
        <is>
          <t>4Bracos_R0111_210W_2026-09-25_12_40.csv</t>
        </is>
      </c>
      <c r="B1069" s="2" t="inlineStr">
        <is>
          <t>210W_3500RPM_R0111</t>
        </is>
      </c>
      <c r="C1069" s="2" t="n">
        <v>210</v>
      </c>
      <c r="D1069" s="2" t="n">
        <v>3500</v>
      </c>
      <c r="E1069" s="3">
        <f>D1069*2/60</f>
        <v/>
      </c>
      <c r="F1069" s="2" t="inlineStr">
        <is>
          <t>0111</t>
        </is>
      </c>
      <c r="G1069" s="2" t="n">
        <v>4</v>
      </c>
      <c r="H1069" s="2">
        <f>INDEX(Parametros!$B$2:$B$9,MATCH(G1069,Parametros!$A$2:$A$9,0))</f>
        <v/>
      </c>
      <c r="I1069" s="4">
        <f>1/(VALUE(MID(F1069,1,1))/Parametros!$E$2+VALUE(MID(F1069,2,1))/Parametros!$E$3+VALUE(MID(F1069,3,1))/Parametros!$E$4+VALUE(MID(F1069,4,1))/Parametros!$E$5)</f>
        <v/>
      </c>
      <c r="J1069" s="5">
        <f>IF(G1069=0,Parametros!$E$8,Parametros!$E$6+Parametros!$E$6*(Parametros!$E$7/G1069+I1069)/(Parametros!$E$6+Parametros!$E$7/G1069+I1069))</f>
        <v/>
      </c>
      <c r="K1069" s="2" t="inlineStr">
        <is>
          <t>2026-09-25 12:40</t>
        </is>
      </c>
      <c r="L1069" s="6" t="inlineStr">
        <is>
          <t>Válido</t>
        </is>
      </c>
      <c r="M1069" s="2">
        <f>IF(L1069="Válido","Sim","Não")</f>
        <v/>
      </c>
      <c r="N1069" s="2" t="inlineStr"/>
    </row>
    <row r="1070">
      <c r="A1070" s="2" t="inlineStr">
        <is>
          <t>3Bracos_R0111_210W_2026-09-25_12_40.csv</t>
        </is>
      </c>
      <c r="B1070" s="2" t="inlineStr">
        <is>
          <t>210W_3500RPM_R0111</t>
        </is>
      </c>
      <c r="C1070" s="2" t="n">
        <v>210</v>
      </c>
      <c r="D1070" s="2" t="n">
        <v>3500</v>
      </c>
      <c r="E1070" s="3">
        <f>D1070*2/60</f>
        <v/>
      </c>
      <c r="F1070" s="2" t="inlineStr">
        <is>
          <t>0111</t>
        </is>
      </c>
      <c r="G1070" s="2" t="n">
        <v>3</v>
      </c>
      <c r="H1070" s="2">
        <f>INDEX(Parametros!$B$2:$B$9,MATCH(G1070,Parametros!$A$2:$A$9,0))</f>
        <v/>
      </c>
      <c r="I1070" s="4">
        <f>1/(VALUE(MID(F1070,1,1))/Parametros!$E$2+VALUE(MID(F1070,2,1))/Parametros!$E$3+VALUE(MID(F1070,3,1))/Parametros!$E$4+VALUE(MID(F1070,4,1))/Parametros!$E$5)</f>
        <v/>
      </c>
      <c r="J1070" s="5">
        <f>IF(G1070=0,Parametros!$E$8,Parametros!$E$6+Parametros!$E$6*(Parametros!$E$7/G1070+I1070)/(Parametros!$E$6+Parametros!$E$7/G1070+I1070))</f>
        <v/>
      </c>
      <c r="K1070" s="2" t="inlineStr">
        <is>
          <t>2026-09-25 12:40</t>
        </is>
      </c>
      <c r="L1070" s="6" t="inlineStr">
        <is>
          <t>Válido</t>
        </is>
      </c>
      <c r="M1070" s="2">
        <f>IF(L1070="Válido","Sim","Não")</f>
        <v/>
      </c>
      <c r="N1070" s="2" t="inlineStr"/>
    </row>
    <row r="1071">
      <c r="A1071" s="2" t="inlineStr">
        <is>
          <t>2Bracos_R0111_210W_2026-09-25_12_40.csv</t>
        </is>
      </c>
      <c r="B1071" s="2" t="inlineStr">
        <is>
          <t>210W_3500RPM_R0111</t>
        </is>
      </c>
      <c r="C1071" s="2" t="n">
        <v>210</v>
      </c>
      <c r="D1071" s="2" t="n">
        <v>3500</v>
      </c>
      <c r="E1071" s="3">
        <f>D1071*2/60</f>
        <v/>
      </c>
      <c r="F1071" s="2" t="inlineStr">
        <is>
          <t>0111</t>
        </is>
      </c>
      <c r="G1071" s="2" t="n">
        <v>2</v>
      </c>
      <c r="H1071" s="2">
        <f>INDEX(Parametros!$B$2:$B$9,MATCH(G1071,Parametros!$A$2:$A$9,0))</f>
        <v/>
      </c>
      <c r="I1071" s="4">
        <f>1/(VALUE(MID(F1071,1,1))/Parametros!$E$2+VALUE(MID(F1071,2,1))/Parametros!$E$3+VALUE(MID(F1071,3,1))/Parametros!$E$4+VALUE(MID(F1071,4,1))/Parametros!$E$5)</f>
        <v/>
      </c>
      <c r="J1071" s="5">
        <f>IF(G1071=0,Parametros!$E$8,Parametros!$E$6+Parametros!$E$6*(Parametros!$E$7/G1071+I1071)/(Parametros!$E$6+Parametros!$E$7/G1071+I1071))</f>
        <v/>
      </c>
      <c r="K1071" s="2" t="inlineStr">
        <is>
          <t>2026-09-25 12:40</t>
        </is>
      </c>
      <c r="L1071" s="6" t="inlineStr">
        <is>
          <t>Válido</t>
        </is>
      </c>
      <c r="M1071" s="2">
        <f>IF(L1071="Válido","Sim","Não")</f>
        <v/>
      </c>
      <c r="N1071" s="2" t="inlineStr"/>
    </row>
    <row r="1072">
      <c r="A1072" s="2" t="inlineStr">
        <is>
          <t>1Bracos_R0111_210W_2026-09-25_12_40.csv</t>
        </is>
      </c>
      <c r="B1072" s="2" t="inlineStr">
        <is>
          <t>210W_3500RPM_R0111</t>
        </is>
      </c>
      <c r="C1072" s="2" t="n">
        <v>210</v>
      </c>
      <c r="D1072" s="2" t="n">
        <v>3500</v>
      </c>
      <c r="E1072" s="3">
        <f>D1072*2/60</f>
        <v/>
      </c>
      <c r="F1072" s="2" t="inlineStr">
        <is>
          <t>0111</t>
        </is>
      </c>
      <c r="G1072" s="2" t="n">
        <v>1</v>
      </c>
      <c r="H1072" s="2">
        <f>INDEX(Parametros!$B$2:$B$9,MATCH(G1072,Parametros!$A$2:$A$9,0))</f>
        <v/>
      </c>
      <c r="I1072" s="4">
        <f>1/(VALUE(MID(F1072,1,1))/Parametros!$E$2+VALUE(MID(F1072,2,1))/Parametros!$E$3+VALUE(MID(F1072,3,1))/Parametros!$E$4+VALUE(MID(F1072,4,1))/Parametros!$E$5)</f>
        <v/>
      </c>
      <c r="J1072" s="5">
        <f>IF(G1072=0,Parametros!$E$8,Parametros!$E$6+Parametros!$E$6*(Parametros!$E$7/G1072+I1072)/(Parametros!$E$6+Parametros!$E$7/G1072+I1072))</f>
        <v/>
      </c>
      <c r="K1072" s="2" t="inlineStr">
        <is>
          <t>2026-09-25 12:40</t>
        </is>
      </c>
      <c r="L1072" s="6" t="inlineStr">
        <is>
          <t>Válido</t>
        </is>
      </c>
      <c r="M1072" s="2">
        <f>IF(L1072="Válido","Sim","Não")</f>
        <v/>
      </c>
      <c r="N1072" s="2" t="inlineStr"/>
    </row>
    <row r="1073">
      <c r="A1073" s="2" t="inlineStr">
        <is>
          <t>0Bracos_R0111_210W_2026-09-25_12_40.csv</t>
        </is>
      </c>
      <c r="B1073" s="2" t="inlineStr">
        <is>
          <t>210W_3500RPM_R0111</t>
        </is>
      </c>
      <c r="C1073" s="2" t="n">
        <v>210</v>
      </c>
      <c r="D1073" s="2" t="n">
        <v>3500</v>
      </c>
      <c r="E1073" s="3">
        <f>D1073*2/60</f>
        <v/>
      </c>
      <c r="F1073" s="2" t="inlineStr">
        <is>
          <t>0111</t>
        </is>
      </c>
      <c r="G1073" s="2" t="n">
        <v>0</v>
      </c>
      <c r="H1073" s="2">
        <f>INDEX(Parametros!$B$2:$B$9,MATCH(G1073,Parametros!$A$2:$A$9,0))</f>
        <v/>
      </c>
      <c r="I1073" s="4">
        <f>1/(VALUE(MID(F1073,1,1))/Parametros!$E$2+VALUE(MID(F1073,2,1))/Parametros!$E$3+VALUE(MID(F1073,3,1))/Parametros!$E$4+VALUE(MID(F1073,4,1))/Parametros!$E$5)</f>
        <v/>
      </c>
      <c r="J1073" s="5">
        <f>IF(G1073=0,Parametros!$E$8,Parametros!$E$6+Parametros!$E$6*(Parametros!$E$7/G1073+I1073)/(Parametros!$E$6+Parametros!$E$7/G1073+I1073))</f>
        <v/>
      </c>
      <c r="K1073" s="2" t="inlineStr">
        <is>
          <t>2026-09-25 12:40</t>
        </is>
      </c>
      <c r="L1073" s="6" t="inlineStr">
        <is>
          <t>Válido</t>
        </is>
      </c>
      <c r="M1073" s="2">
        <f>IF(L1073="Válido","Sim","Não")</f>
        <v/>
      </c>
      <c r="N1073" s="2" t="inlineStr"/>
    </row>
    <row r="1074">
      <c r="A1074" s="2" t="inlineStr">
        <is>
          <t>7Bracos_R1000_210W_2026-09-25_12_40.csv</t>
        </is>
      </c>
      <c r="B1074" s="2" t="inlineStr">
        <is>
          <t>210W_3500RPM_R1000</t>
        </is>
      </c>
      <c r="C1074" s="2" t="n">
        <v>210</v>
      </c>
      <c r="D1074" s="2" t="n">
        <v>3500</v>
      </c>
      <c r="E1074" s="3">
        <f>D1074*2/60</f>
        <v/>
      </c>
      <c r="F1074" s="2" t="inlineStr">
        <is>
          <t>1000</t>
        </is>
      </c>
      <c r="G1074" s="2" t="n">
        <v>7</v>
      </c>
      <c r="H1074" s="2">
        <f>INDEX(Parametros!$B$2:$B$9,MATCH(G1074,Parametros!$A$2:$A$9,0))</f>
        <v/>
      </c>
      <c r="I1074" s="4">
        <f>1/(VALUE(MID(F1074,1,1))/Parametros!$E$2+VALUE(MID(F1074,2,1))/Parametros!$E$3+VALUE(MID(F1074,3,1))/Parametros!$E$4+VALUE(MID(F1074,4,1))/Parametros!$E$5)</f>
        <v/>
      </c>
      <c r="J1074" s="5">
        <f>IF(G1074=0,Parametros!$E$8,Parametros!$E$6+Parametros!$E$6*(Parametros!$E$7/G1074+I1074)/(Parametros!$E$6+Parametros!$E$7/G1074+I1074))</f>
        <v/>
      </c>
      <c r="K1074" s="2" t="inlineStr">
        <is>
          <t>2026-09-25 12:40</t>
        </is>
      </c>
      <c r="L1074" s="6" t="inlineStr">
        <is>
          <t>Válido</t>
        </is>
      </c>
      <c r="M1074" s="2">
        <f>IF(L1074="Válido","Sim","Não")</f>
        <v/>
      </c>
      <c r="N1074" s="2" t="inlineStr"/>
    </row>
    <row r="1075">
      <c r="A1075" s="2" t="inlineStr">
        <is>
          <t>6Bracos_R1000_210W_2026-09-25_12_40.csv</t>
        </is>
      </c>
      <c r="B1075" s="2" t="inlineStr">
        <is>
          <t>210W_3500RPM_R1000</t>
        </is>
      </c>
      <c r="C1075" s="2" t="n">
        <v>210</v>
      </c>
      <c r="D1075" s="2" t="n">
        <v>3500</v>
      </c>
      <c r="E1075" s="3">
        <f>D1075*2/60</f>
        <v/>
      </c>
      <c r="F1075" s="2" t="inlineStr">
        <is>
          <t>1000</t>
        </is>
      </c>
      <c r="G1075" s="2" t="n">
        <v>6</v>
      </c>
      <c r="H1075" s="2">
        <f>INDEX(Parametros!$B$2:$B$9,MATCH(G1075,Parametros!$A$2:$A$9,0))</f>
        <v/>
      </c>
      <c r="I1075" s="4">
        <f>1/(VALUE(MID(F1075,1,1))/Parametros!$E$2+VALUE(MID(F1075,2,1))/Parametros!$E$3+VALUE(MID(F1075,3,1))/Parametros!$E$4+VALUE(MID(F1075,4,1))/Parametros!$E$5)</f>
        <v/>
      </c>
      <c r="J1075" s="5">
        <f>IF(G1075=0,Parametros!$E$8,Parametros!$E$6+Parametros!$E$6*(Parametros!$E$7/G1075+I1075)/(Parametros!$E$6+Parametros!$E$7/G1075+I1075))</f>
        <v/>
      </c>
      <c r="K1075" s="2" t="inlineStr">
        <is>
          <t>2026-09-25 12:40</t>
        </is>
      </c>
      <c r="L1075" s="6" t="inlineStr">
        <is>
          <t>Válido</t>
        </is>
      </c>
      <c r="M1075" s="2">
        <f>IF(L1075="Válido","Sim","Não")</f>
        <v/>
      </c>
      <c r="N1075" s="2" t="inlineStr"/>
    </row>
    <row r="1076">
      <c r="A1076" s="2" t="inlineStr">
        <is>
          <t>5Bracos_R1000_210W_2026-09-25_12_40.csv</t>
        </is>
      </c>
      <c r="B1076" s="2" t="inlineStr">
        <is>
          <t>210W_3500RPM_R1000</t>
        </is>
      </c>
      <c r="C1076" s="2" t="n">
        <v>210</v>
      </c>
      <c r="D1076" s="2" t="n">
        <v>3500</v>
      </c>
      <c r="E1076" s="3">
        <f>D1076*2/60</f>
        <v/>
      </c>
      <c r="F1076" s="2" t="inlineStr">
        <is>
          <t>1000</t>
        </is>
      </c>
      <c r="G1076" s="2" t="n">
        <v>5</v>
      </c>
      <c r="H1076" s="2">
        <f>INDEX(Parametros!$B$2:$B$9,MATCH(G1076,Parametros!$A$2:$A$9,0))</f>
        <v/>
      </c>
      <c r="I1076" s="4">
        <f>1/(VALUE(MID(F1076,1,1))/Parametros!$E$2+VALUE(MID(F1076,2,1))/Parametros!$E$3+VALUE(MID(F1076,3,1))/Parametros!$E$4+VALUE(MID(F1076,4,1))/Parametros!$E$5)</f>
        <v/>
      </c>
      <c r="J1076" s="5">
        <f>IF(G1076=0,Parametros!$E$8,Parametros!$E$6+Parametros!$E$6*(Parametros!$E$7/G1076+I1076)/(Parametros!$E$6+Parametros!$E$7/G1076+I1076))</f>
        <v/>
      </c>
      <c r="K1076" s="2" t="inlineStr">
        <is>
          <t>2026-09-25 12:40</t>
        </is>
      </c>
      <c r="L1076" s="6" t="inlineStr">
        <is>
          <t>Válido</t>
        </is>
      </c>
      <c r="M1076" s="2">
        <f>IF(L1076="Válido","Sim","Não")</f>
        <v/>
      </c>
      <c r="N1076" s="2" t="inlineStr"/>
    </row>
    <row r="1077">
      <c r="A1077" s="2" t="inlineStr">
        <is>
          <t>4Bracos_R1000_210W_2026-09-25_12_40.csv</t>
        </is>
      </c>
      <c r="B1077" s="2" t="inlineStr">
        <is>
          <t>210W_3500RPM_R1000</t>
        </is>
      </c>
      <c r="C1077" s="2" t="n">
        <v>210</v>
      </c>
      <c r="D1077" s="2" t="n">
        <v>3500</v>
      </c>
      <c r="E1077" s="3">
        <f>D1077*2/60</f>
        <v/>
      </c>
      <c r="F1077" s="2" t="inlineStr">
        <is>
          <t>1000</t>
        </is>
      </c>
      <c r="G1077" s="2" t="n">
        <v>4</v>
      </c>
      <c r="H1077" s="2">
        <f>INDEX(Parametros!$B$2:$B$9,MATCH(G1077,Parametros!$A$2:$A$9,0))</f>
        <v/>
      </c>
      <c r="I1077" s="4">
        <f>1/(VALUE(MID(F1077,1,1))/Parametros!$E$2+VALUE(MID(F1077,2,1))/Parametros!$E$3+VALUE(MID(F1077,3,1))/Parametros!$E$4+VALUE(MID(F1077,4,1))/Parametros!$E$5)</f>
        <v/>
      </c>
      <c r="J1077" s="5">
        <f>IF(G1077=0,Parametros!$E$8,Parametros!$E$6+Parametros!$E$6*(Parametros!$E$7/G1077+I1077)/(Parametros!$E$6+Parametros!$E$7/G1077+I1077))</f>
        <v/>
      </c>
      <c r="K1077" s="2" t="inlineStr">
        <is>
          <t>2026-09-25 12:40</t>
        </is>
      </c>
      <c r="L1077" s="6" t="inlineStr">
        <is>
          <t>Válido</t>
        </is>
      </c>
      <c r="M1077" s="2">
        <f>IF(L1077="Válido","Sim","Não")</f>
        <v/>
      </c>
      <c r="N1077" s="2" t="inlineStr"/>
    </row>
    <row r="1078">
      <c r="A1078" s="2" t="inlineStr">
        <is>
          <t>3Bracos_R1000_210W_2026-09-25_12_40.csv</t>
        </is>
      </c>
      <c r="B1078" s="2" t="inlineStr">
        <is>
          <t>210W_3500RPM_R1000</t>
        </is>
      </c>
      <c r="C1078" s="2" t="n">
        <v>210</v>
      </c>
      <c r="D1078" s="2" t="n">
        <v>3500</v>
      </c>
      <c r="E1078" s="3">
        <f>D1078*2/60</f>
        <v/>
      </c>
      <c r="F1078" s="2" t="inlineStr">
        <is>
          <t>1000</t>
        </is>
      </c>
      <c r="G1078" s="2" t="n">
        <v>3</v>
      </c>
      <c r="H1078" s="2">
        <f>INDEX(Parametros!$B$2:$B$9,MATCH(G1078,Parametros!$A$2:$A$9,0))</f>
        <v/>
      </c>
      <c r="I1078" s="4">
        <f>1/(VALUE(MID(F1078,1,1))/Parametros!$E$2+VALUE(MID(F1078,2,1))/Parametros!$E$3+VALUE(MID(F1078,3,1))/Parametros!$E$4+VALUE(MID(F1078,4,1))/Parametros!$E$5)</f>
        <v/>
      </c>
      <c r="J1078" s="5">
        <f>IF(G1078=0,Parametros!$E$8,Parametros!$E$6+Parametros!$E$6*(Parametros!$E$7/G1078+I1078)/(Parametros!$E$6+Parametros!$E$7/G1078+I1078))</f>
        <v/>
      </c>
      <c r="K1078" s="2" t="inlineStr">
        <is>
          <t>2026-09-25 12:40</t>
        </is>
      </c>
      <c r="L1078" s="6" t="inlineStr">
        <is>
          <t>Válido</t>
        </is>
      </c>
      <c r="M1078" s="2">
        <f>IF(L1078="Válido","Sim","Não")</f>
        <v/>
      </c>
      <c r="N1078" s="2" t="inlineStr"/>
    </row>
    <row r="1079">
      <c r="A1079" s="2" t="inlineStr">
        <is>
          <t>2Bracos_R1000_210W_2026-09-25_12_40.csv</t>
        </is>
      </c>
      <c r="B1079" s="2" t="inlineStr">
        <is>
          <t>210W_3500RPM_R1000</t>
        </is>
      </c>
      <c r="C1079" s="2" t="n">
        <v>210</v>
      </c>
      <c r="D1079" s="2" t="n">
        <v>3500</v>
      </c>
      <c r="E1079" s="3">
        <f>D1079*2/60</f>
        <v/>
      </c>
      <c r="F1079" s="2" t="inlineStr">
        <is>
          <t>1000</t>
        </is>
      </c>
      <c r="G1079" s="2" t="n">
        <v>2</v>
      </c>
      <c r="H1079" s="2">
        <f>INDEX(Parametros!$B$2:$B$9,MATCH(G1079,Parametros!$A$2:$A$9,0))</f>
        <v/>
      </c>
      <c r="I1079" s="4">
        <f>1/(VALUE(MID(F1079,1,1))/Parametros!$E$2+VALUE(MID(F1079,2,1))/Parametros!$E$3+VALUE(MID(F1079,3,1))/Parametros!$E$4+VALUE(MID(F1079,4,1))/Parametros!$E$5)</f>
        <v/>
      </c>
      <c r="J1079" s="5">
        <f>IF(G1079=0,Parametros!$E$8,Parametros!$E$6+Parametros!$E$6*(Parametros!$E$7/G1079+I1079)/(Parametros!$E$6+Parametros!$E$7/G1079+I1079))</f>
        <v/>
      </c>
      <c r="K1079" s="2" t="inlineStr">
        <is>
          <t>2026-09-25 12:40</t>
        </is>
      </c>
      <c r="L1079" s="6" t="inlineStr">
        <is>
          <t>Válido</t>
        </is>
      </c>
      <c r="M1079" s="2">
        <f>IF(L1079="Válido","Sim","Não")</f>
        <v/>
      </c>
      <c r="N1079" s="2" t="inlineStr"/>
    </row>
    <row r="1080">
      <c r="A1080" s="2" t="inlineStr">
        <is>
          <t>1Bracos_R1000_210W_2026-09-25_12_40.csv</t>
        </is>
      </c>
      <c r="B1080" s="2" t="inlineStr">
        <is>
          <t>210W_3500RPM_R1000</t>
        </is>
      </c>
      <c r="C1080" s="2" t="n">
        <v>210</v>
      </c>
      <c r="D1080" s="2" t="n">
        <v>3500</v>
      </c>
      <c r="E1080" s="3">
        <f>D1080*2/60</f>
        <v/>
      </c>
      <c r="F1080" s="2" t="inlineStr">
        <is>
          <t>1000</t>
        </is>
      </c>
      <c r="G1080" s="2" t="n">
        <v>1</v>
      </c>
      <c r="H1080" s="2">
        <f>INDEX(Parametros!$B$2:$B$9,MATCH(G1080,Parametros!$A$2:$A$9,0))</f>
        <v/>
      </c>
      <c r="I1080" s="4">
        <f>1/(VALUE(MID(F1080,1,1))/Parametros!$E$2+VALUE(MID(F1080,2,1))/Parametros!$E$3+VALUE(MID(F1080,3,1))/Parametros!$E$4+VALUE(MID(F1080,4,1))/Parametros!$E$5)</f>
        <v/>
      </c>
      <c r="J1080" s="5">
        <f>IF(G1080=0,Parametros!$E$8,Parametros!$E$6+Parametros!$E$6*(Parametros!$E$7/G1080+I1080)/(Parametros!$E$6+Parametros!$E$7/G1080+I1080))</f>
        <v/>
      </c>
      <c r="K1080" s="2" t="inlineStr">
        <is>
          <t>2026-09-25 12:40</t>
        </is>
      </c>
      <c r="L1080" s="6" t="inlineStr">
        <is>
          <t>Válido</t>
        </is>
      </c>
      <c r="M1080" s="2">
        <f>IF(L1080="Válido","Sim","Não")</f>
        <v/>
      </c>
      <c r="N1080" s="2" t="inlineStr"/>
    </row>
    <row r="1081">
      <c r="A1081" s="2" t="inlineStr">
        <is>
          <t>0Bracos_R1000_210W_2026-09-25_12_40.csv</t>
        </is>
      </c>
      <c r="B1081" s="2" t="inlineStr">
        <is>
          <t>210W_3500RPM_R1000</t>
        </is>
      </c>
      <c r="C1081" s="2" t="n">
        <v>210</v>
      </c>
      <c r="D1081" s="2" t="n">
        <v>3500</v>
      </c>
      <c r="E1081" s="3">
        <f>D1081*2/60</f>
        <v/>
      </c>
      <c r="F1081" s="2" t="inlineStr">
        <is>
          <t>1000</t>
        </is>
      </c>
      <c r="G1081" s="2" t="n">
        <v>0</v>
      </c>
      <c r="H1081" s="2">
        <f>INDEX(Parametros!$B$2:$B$9,MATCH(G1081,Parametros!$A$2:$A$9,0))</f>
        <v/>
      </c>
      <c r="I1081" s="4">
        <f>1/(VALUE(MID(F1081,1,1))/Parametros!$E$2+VALUE(MID(F1081,2,1))/Parametros!$E$3+VALUE(MID(F1081,3,1))/Parametros!$E$4+VALUE(MID(F1081,4,1))/Parametros!$E$5)</f>
        <v/>
      </c>
      <c r="J1081" s="5">
        <f>IF(G1081=0,Parametros!$E$8,Parametros!$E$6+Parametros!$E$6*(Parametros!$E$7/G1081+I1081)/(Parametros!$E$6+Parametros!$E$7/G1081+I1081))</f>
        <v/>
      </c>
      <c r="K1081" s="2" t="inlineStr">
        <is>
          <t>2026-09-25 12:40</t>
        </is>
      </c>
      <c r="L1081" s="6" t="inlineStr">
        <is>
          <t>Válido</t>
        </is>
      </c>
      <c r="M1081" s="2">
        <f>IF(L1081="Válido","Sim","Não")</f>
        <v/>
      </c>
      <c r="N1081" s="2" t="inlineStr"/>
    </row>
    <row r="1082">
      <c r="A1082" s="2" t="inlineStr">
        <is>
          <t>7Bracos_R1001_210W_2026-09-25_12_40.csv</t>
        </is>
      </c>
      <c r="B1082" s="2" t="inlineStr">
        <is>
          <t>210W_3500RPM_R1001</t>
        </is>
      </c>
      <c r="C1082" s="2" t="n">
        <v>210</v>
      </c>
      <c r="D1082" s="2" t="n">
        <v>3500</v>
      </c>
      <c r="E1082" s="3">
        <f>D1082*2/60</f>
        <v/>
      </c>
      <c r="F1082" s="2" t="inlineStr">
        <is>
          <t>1001</t>
        </is>
      </c>
      <c r="G1082" s="2" t="n">
        <v>7</v>
      </c>
      <c r="H1082" s="2">
        <f>INDEX(Parametros!$B$2:$B$9,MATCH(G1082,Parametros!$A$2:$A$9,0))</f>
        <v/>
      </c>
      <c r="I1082" s="4">
        <f>1/(VALUE(MID(F1082,1,1))/Parametros!$E$2+VALUE(MID(F1082,2,1))/Parametros!$E$3+VALUE(MID(F1082,3,1))/Parametros!$E$4+VALUE(MID(F1082,4,1))/Parametros!$E$5)</f>
        <v/>
      </c>
      <c r="J1082" s="5">
        <f>IF(G1082=0,Parametros!$E$8,Parametros!$E$6+Parametros!$E$6*(Parametros!$E$7/G1082+I1082)/(Parametros!$E$6+Parametros!$E$7/G1082+I1082))</f>
        <v/>
      </c>
      <c r="K1082" s="2" t="inlineStr">
        <is>
          <t>2026-09-25 12:40</t>
        </is>
      </c>
      <c r="L1082" s="6" t="inlineStr">
        <is>
          <t>Válido</t>
        </is>
      </c>
      <c r="M1082" s="2">
        <f>IF(L1082="Válido","Sim","Não")</f>
        <v/>
      </c>
      <c r="N1082" s="2" t="inlineStr"/>
    </row>
    <row r="1083">
      <c r="A1083" s="2" t="inlineStr">
        <is>
          <t>6Bracos_R1001_210W_2026-09-25_12_40.csv</t>
        </is>
      </c>
      <c r="B1083" s="2" t="inlineStr">
        <is>
          <t>210W_3500RPM_R1001</t>
        </is>
      </c>
      <c r="C1083" s="2" t="n">
        <v>210</v>
      </c>
      <c r="D1083" s="2" t="n">
        <v>3500</v>
      </c>
      <c r="E1083" s="3">
        <f>D1083*2/60</f>
        <v/>
      </c>
      <c r="F1083" s="2" t="inlineStr">
        <is>
          <t>1001</t>
        </is>
      </c>
      <c r="G1083" s="2" t="n">
        <v>6</v>
      </c>
      <c r="H1083" s="2">
        <f>INDEX(Parametros!$B$2:$B$9,MATCH(G1083,Parametros!$A$2:$A$9,0))</f>
        <v/>
      </c>
      <c r="I1083" s="4">
        <f>1/(VALUE(MID(F1083,1,1))/Parametros!$E$2+VALUE(MID(F1083,2,1))/Parametros!$E$3+VALUE(MID(F1083,3,1))/Parametros!$E$4+VALUE(MID(F1083,4,1))/Parametros!$E$5)</f>
        <v/>
      </c>
      <c r="J1083" s="5">
        <f>IF(G1083=0,Parametros!$E$8,Parametros!$E$6+Parametros!$E$6*(Parametros!$E$7/G1083+I1083)/(Parametros!$E$6+Parametros!$E$7/G1083+I1083))</f>
        <v/>
      </c>
      <c r="K1083" s="2" t="inlineStr">
        <is>
          <t>2026-09-25 12:40</t>
        </is>
      </c>
      <c r="L1083" s="6" t="inlineStr">
        <is>
          <t>Válido</t>
        </is>
      </c>
      <c r="M1083" s="2">
        <f>IF(L1083="Válido","Sim","Não")</f>
        <v/>
      </c>
      <c r="N1083" s="2" t="inlineStr"/>
    </row>
    <row r="1084">
      <c r="A1084" s="2" t="inlineStr">
        <is>
          <t>5Bracos_R1001_210W_2026-09-25_12_40.csv</t>
        </is>
      </c>
      <c r="B1084" s="2" t="inlineStr">
        <is>
          <t>210W_3500RPM_R1001</t>
        </is>
      </c>
      <c r="C1084" s="2" t="n">
        <v>210</v>
      </c>
      <c r="D1084" s="2" t="n">
        <v>3500</v>
      </c>
      <c r="E1084" s="3">
        <f>D1084*2/60</f>
        <v/>
      </c>
      <c r="F1084" s="2" t="inlineStr">
        <is>
          <t>1001</t>
        </is>
      </c>
      <c r="G1084" s="2" t="n">
        <v>5</v>
      </c>
      <c r="H1084" s="2">
        <f>INDEX(Parametros!$B$2:$B$9,MATCH(G1084,Parametros!$A$2:$A$9,0))</f>
        <v/>
      </c>
      <c r="I1084" s="4">
        <f>1/(VALUE(MID(F1084,1,1))/Parametros!$E$2+VALUE(MID(F1084,2,1))/Parametros!$E$3+VALUE(MID(F1084,3,1))/Parametros!$E$4+VALUE(MID(F1084,4,1))/Parametros!$E$5)</f>
        <v/>
      </c>
      <c r="J1084" s="5">
        <f>IF(G1084=0,Parametros!$E$8,Parametros!$E$6+Parametros!$E$6*(Parametros!$E$7/G1084+I1084)/(Parametros!$E$6+Parametros!$E$7/G1084+I1084))</f>
        <v/>
      </c>
      <c r="K1084" s="2" t="inlineStr">
        <is>
          <t>2026-09-25 12:40</t>
        </is>
      </c>
      <c r="L1084" s="6" t="inlineStr">
        <is>
          <t>Válido</t>
        </is>
      </c>
      <c r="M1084" s="2">
        <f>IF(L1084="Válido","Sim","Não")</f>
        <v/>
      </c>
      <c r="N1084" s="2" t="inlineStr"/>
    </row>
    <row r="1085">
      <c r="A1085" s="2" t="inlineStr">
        <is>
          <t>4Bracos_R1001_210W_2026-09-25_12_40.csv</t>
        </is>
      </c>
      <c r="B1085" s="2" t="inlineStr">
        <is>
          <t>210W_3500RPM_R1001</t>
        </is>
      </c>
      <c r="C1085" s="2" t="n">
        <v>210</v>
      </c>
      <c r="D1085" s="2" t="n">
        <v>3500</v>
      </c>
      <c r="E1085" s="3">
        <f>D1085*2/60</f>
        <v/>
      </c>
      <c r="F1085" s="2" t="inlineStr">
        <is>
          <t>1001</t>
        </is>
      </c>
      <c r="G1085" s="2" t="n">
        <v>4</v>
      </c>
      <c r="H1085" s="2">
        <f>INDEX(Parametros!$B$2:$B$9,MATCH(G1085,Parametros!$A$2:$A$9,0))</f>
        <v/>
      </c>
      <c r="I1085" s="4">
        <f>1/(VALUE(MID(F1085,1,1))/Parametros!$E$2+VALUE(MID(F1085,2,1))/Parametros!$E$3+VALUE(MID(F1085,3,1))/Parametros!$E$4+VALUE(MID(F1085,4,1))/Parametros!$E$5)</f>
        <v/>
      </c>
      <c r="J1085" s="5">
        <f>IF(G1085=0,Parametros!$E$8,Parametros!$E$6+Parametros!$E$6*(Parametros!$E$7/G1085+I1085)/(Parametros!$E$6+Parametros!$E$7/G1085+I1085))</f>
        <v/>
      </c>
      <c r="K1085" s="2" t="inlineStr">
        <is>
          <t>2026-09-25 12:40</t>
        </is>
      </c>
      <c r="L1085" s="6" t="inlineStr">
        <is>
          <t>Válido</t>
        </is>
      </c>
      <c r="M1085" s="2">
        <f>IF(L1085="Válido","Sim","Não")</f>
        <v/>
      </c>
      <c r="N1085" s="2" t="inlineStr"/>
    </row>
    <row r="1086">
      <c r="A1086" s="2" t="inlineStr">
        <is>
          <t>3Bracos_R1001_210W_2026-09-25_12_40.csv</t>
        </is>
      </c>
      <c r="B1086" s="2" t="inlineStr">
        <is>
          <t>210W_3500RPM_R1001</t>
        </is>
      </c>
      <c r="C1086" s="2" t="n">
        <v>210</v>
      </c>
      <c r="D1086" s="2" t="n">
        <v>3500</v>
      </c>
      <c r="E1086" s="3">
        <f>D1086*2/60</f>
        <v/>
      </c>
      <c r="F1086" s="2" t="inlineStr">
        <is>
          <t>1001</t>
        </is>
      </c>
      <c r="G1086" s="2" t="n">
        <v>3</v>
      </c>
      <c r="H1086" s="2">
        <f>INDEX(Parametros!$B$2:$B$9,MATCH(G1086,Parametros!$A$2:$A$9,0))</f>
        <v/>
      </c>
      <c r="I1086" s="4">
        <f>1/(VALUE(MID(F1086,1,1))/Parametros!$E$2+VALUE(MID(F1086,2,1))/Parametros!$E$3+VALUE(MID(F1086,3,1))/Parametros!$E$4+VALUE(MID(F1086,4,1))/Parametros!$E$5)</f>
        <v/>
      </c>
      <c r="J1086" s="5">
        <f>IF(G1086=0,Parametros!$E$8,Parametros!$E$6+Parametros!$E$6*(Parametros!$E$7/G1086+I1086)/(Parametros!$E$6+Parametros!$E$7/G1086+I1086))</f>
        <v/>
      </c>
      <c r="K1086" s="2" t="inlineStr">
        <is>
          <t>2026-09-25 12:40</t>
        </is>
      </c>
      <c r="L1086" s="6" t="inlineStr">
        <is>
          <t>Válido</t>
        </is>
      </c>
      <c r="M1086" s="2">
        <f>IF(L1086="Válido","Sim","Não")</f>
        <v/>
      </c>
      <c r="N1086" s="2" t="inlineStr"/>
    </row>
    <row r="1087">
      <c r="A1087" s="2" t="inlineStr">
        <is>
          <t>2Bracos_R1001_210W_2026-09-25_12_40.csv</t>
        </is>
      </c>
      <c r="B1087" s="2" t="inlineStr">
        <is>
          <t>210W_3500RPM_R1001</t>
        </is>
      </c>
      <c r="C1087" s="2" t="n">
        <v>210</v>
      </c>
      <c r="D1087" s="2" t="n">
        <v>3500</v>
      </c>
      <c r="E1087" s="3">
        <f>D1087*2/60</f>
        <v/>
      </c>
      <c r="F1087" s="2" t="inlineStr">
        <is>
          <t>1001</t>
        </is>
      </c>
      <c r="G1087" s="2" t="n">
        <v>2</v>
      </c>
      <c r="H1087" s="2">
        <f>INDEX(Parametros!$B$2:$B$9,MATCH(G1087,Parametros!$A$2:$A$9,0))</f>
        <v/>
      </c>
      <c r="I1087" s="4">
        <f>1/(VALUE(MID(F1087,1,1))/Parametros!$E$2+VALUE(MID(F1087,2,1))/Parametros!$E$3+VALUE(MID(F1087,3,1))/Parametros!$E$4+VALUE(MID(F1087,4,1))/Parametros!$E$5)</f>
        <v/>
      </c>
      <c r="J1087" s="5">
        <f>IF(G1087=0,Parametros!$E$8,Parametros!$E$6+Parametros!$E$6*(Parametros!$E$7/G1087+I1087)/(Parametros!$E$6+Parametros!$E$7/G1087+I1087))</f>
        <v/>
      </c>
      <c r="K1087" s="2" t="inlineStr">
        <is>
          <t>2026-09-25 12:40</t>
        </is>
      </c>
      <c r="L1087" s="6" t="inlineStr">
        <is>
          <t>Válido</t>
        </is>
      </c>
      <c r="M1087" s="2">
        <f>IF(L1087="Válido","Sim","Não")</f>
        <v/>
      </c>
      <c r="N1087" s="2" t="inlineStr"/>
    </row>
    <row r="1088">
      <c r="A1088" s="2" t="inlineStr">
        <is>
          <t>1Bracos_R1001_210W_2026-09-25_12_40.csv</t>
        </is>
      </c>
      <c r="B1088" s="2" t="inlineStr">
        <is>
          <t>210W_3500RPM_R1001</t>
        </is>
      </c>
      <c r="C1088" s="2" t="n">
        <v>210</v>
      </c>
      <c r="D1088" s="2" t="n">
        <v>3500</v>
      </c>
      <c r="E1088" s="3">
        <f>D1088*2/60</f>
        <v/>
      </c>
      <c r="F1088" s="2" t="inlineStr">
        <is>
          <t>1001</t>
        </is>
      </c>
      <c r="G1088" s="2" t="n">
        <v>1</v>
      </c>
      <c r="H1088" s="2">
        <f>INDEX(Parametros!$B$2:$B$9,MATCH(G1088,Parametros!$A$2:$A$9,0))</f>
        <v/>
      </c>
      <c r="I1088" s="4">
        <f>1/(VALUE(MID(F1088,1,1))/Parametros!$E$2+VALUE(MID(F1088,2,1))/Parametros!$E$3+VALUE(MID(F1088,3,1))/Parametros!$E$4+VALUE(MID(F1088,4,1))/Parametros!$E$5)</f>
        <v/>
      </c>
      <c r="J1088" s="5">
        <f>IF(G1088=0,Parametros!$E$8,Parametros!$E$6+Parametros!$E$6*(Parametros!$E$7/G1088+I1088)/(Parametros!$E$6+Parametros!$E$7/G1088+I1088))</f>
        <v/>
      </c>
      <c r="K1088" s="2" t="inlineStr">
        <is>
          <t>2026-09-25 12:40</t>
        </is>
      </c>
      <c r="L1088" s="6" t="inlineStr">
        <is>
          <t>Válido</t>
        </is>
      </c>
      <c r="M1088" s="2">
        <f>IF(L1088="Válido","Sim","Não")</f>
        <v/>
      </c>
      <c r="N1088" s="2" t="inlineStr"/>
    </row>
    <row r="1089">
      <c r="A1089" s="2" t="inlineStr">
        <is>
          <t>0Bracos_R1001_210W_2026-09-25_12_40.csv</t>
        </is>
      </c>
      <c r="B1089" s="2" t="inlineStr">
        <is>
          <t>210W_3500RPM_R1001</t>
        </is>
      </c>
      <c r="C1089" s="2" t="n">
        <v>210</v>
      </c>
      <c r="D1089" s="2" t="n">
        <v>3500</v>
      </c>
      <c r="E1089" s="3">
        <f>D1089*2/60</f>
        <v/>
      </c>
      <c r="F1089" s="2" t="inlineStr">
        <is>
          <t>1001</t>
        </is>
      </c>
      <c r="G1089" s="2" t="n">
        <v>0</v>
      </c>
      <c r="H1089" s="2">
        <f>INDEX(Parametros!$B$2:$B$9,MATCH(G1089,Parametros!$A$2:$A$9,0))</f>
        <v/>
      </c>
      <c r="I1089" s="4">
        <f>1/(VALUE(MID(F1089,1,1))/Parametros!$E$2+VALUE(MID(F1089,2,1))/Parametros!$E$3+VALUE(MID(F1089,3,1))/Parametros!$E$4+VALUE(MID(F1089,4,1))/Parametros!$E$5)</f>
        <v/>
      </c>
      <c r="J1089" s="5">
        <f>IF(G1089=0,Parametros!$E$8,Parametros!$E$6+Parametros!$E$6*(Parametros!$E$7/G1089+I1089)/(Parametros!$E$6+Parametros!$E$7/G1089+I1089))</f>
        <v/>
      </c>
      <c r="K1089" s="2" t="inlineStr">
        <is>
          <t>2026-09-25 12:40</t>
        </is>
      </c>
      <c r="L1089" s="6" t="inlineStr">
        <is>
          <t>Válido</t>
        </is>
      </c>
      <c r="M1089" s="2">
        <f>IF(L1089="Válido","Sim","Não")</f>
        <v/>
      </c>
      <c r="N1089" s="2" t="inlineStr"/>
    </row>
    <row r="1090">
      <c r="A1090" s="2" t="inlineStr">
        <is>
          <t>7Bracos_R1010_210W_2026-09-25_12_40.csv</t>
        </is>
      </c>
      <c r="B1090" s="2" t="inlineStr">
        <is>
          <t>210W_3500RPM_R1010</t>
        </is>
      </c>
      <c r="C1090" s="2" t="n">
        <v>210</v>
      </c>
      <c r="D1090" s="2" t="n">
        <v>3500</v>
      </c>
      <c r="E1090" s="3">
        <f>D1090*2/60</f>
        <v/>
      </c>
      <c r="F1090" s="2" t="inlineStr">
        <is>
          <t>1010</t>
        </is>
      </c>
      <c r="G1090" s="2" t="n">
        <v>7</v>
      </c>
      <c r="H1090" s="2">
        <f>INDEX(Parametros!$B$2:$B$9,MATCH(G1090,Parametros!$A$2:$A$9,0))</f>
        <v/>
      </c>
      <c r="I1090" s="4">
        <f>1/(VALUE(MID(F1090,1,1))/Parametros!$E$2+VALUE(MID(F1090,2,1))/Parametros!$E$3+VALUE(MID(F1090,3,1))/Parametros!$E$4+VALUE(MID(F1090,4,1))/Parametros!$E$5)</f>
        <v/>
      </c>
      <c r="J1090" s="5">
        <f>IF(G1090=0,Parametros!$E$8,Parametros!$E$6+Parametros!$E$6*(Parametros!$E$7/G1090+I1090)/(Parametros!$E$6+Parametros!$E$7/G1090+I1090))</f>
        <v/>
      </c>
      <c r="K1090" s="2" t="inlineStr">
        <is>
          <t>2026-09-25 12:40</t>
        </is>
      </c>
      <c r="L1090" s="6" t="inlineStr">
        <is>
          <t>Válido</t>
        </is>
      </c>
      <c r="M1090" s="2">
        <f>IF(L1090="Válido","Sim","Não")</f>
        <v/>
      </c>
      <c r="N1090" s="2" t="inlineStr"/>
    </row>
    <row r="1091">
      <c r="A1091" s="2" t="inlineStr">
        <is>
          <t>6Bracos_R1010_210W_2026-09-25_12_40.csv</t>
        </is>
      </c>
      <c r="B1091" s="2" t="inlineStr">
        <is>
          <t>210W_3500RPM_R1010</t>
        </is>
      </c>
      <c r="C1091" s="2" t="n">
        <v>210</v>
      </c>
      <c r="D1091" s="2" t="n">
        <v>3500</v>
      </c>
      <c r="E1091" s="3">
        <f>D1091*2/60</f>
        <v/>
      </c>
      <c r="F1091" s="2" t="inlineStr">
        <is>
          <t>1010</t>
        </is>
      </c>
      <c r="G1091" s="2" t="n">
        <v>6</v>
      </c>
      <c r="H1091" s="2">
        <f>INDEX(Parametros!$B$2:$B$9,MATCH(G1091,Parametros!$A$2:$A$9,0))</f>
        <v/>
      </c>
      <c r="I1091" s="4">
        <f>1/(VALUE(MID(F1091,1,1))/Parametros!$E$2+VALUE(MID(F1091,2,1))/Parametros!$E$3+VALUE(MID(F1091,3,1))/Parametros!$E$4+VALUE(MID(F1091,4,1))/Parametros!$E$5)</f>
        <v/>
      </c>
      <c r="J1091" s="5">
        <f>IF(G1091=0,Parametros!$E$8,Parametros!$E$6+Parametros!$E$6*(Parametros!$E$7/G1091+I1091)/(Parametros!$E$6+Parametros!$E$7/G1091+I1091))</f>
        <v/>
      </c>
      <c r="K1091" s="2" t="inlineStr">
        <is>
          <t>2026-09-25 12:40</t>
        </is>
      </c>
      <c r="L1091" s="6" t="inlineStr">
        <is>
          <t>Válido</t>
        </is>
      </c>
      <c r="M1091" s="2">
        <f>IF(L1091="Válido","Sim","Não")</f>
        <v/>
      </c>
      <c r="N1091" s="2" t="inlineStr"/>
    </row>
    <row r="1092">
      <c r="A1092" s="2" t="inlineStr">
        <is>
          <t>5Bracos_R1010_210W_2026-09-25_12_40.csv</t>
        </is>
      </c>
      <c r="B1092" s="2" t="inlineStr">
        <is>
          <t>210W_3500RPM_R1010</t>
        </is>
      </c>
      <c r="C1092" s="2" t="n">
        <v>210</v>
      </c>
      <c r="D1092" s="2" t="n">
        <v>3500</v>
      </c>
      <c r="E1092" s="3">
        <f>D1092*2/60</f>
        <v/>
      </c>
      <c r="F1092" s="2" t="inlineStr">
        <is>
          <t>1010</t>
        </is>
      </c>
      <c r="G1092" s="2" t="n">
        <v>5</v>
      </c>
      <c r="H1092" s="2">
        <f>INDEX(Parametros!$B$2:$B$9,MATCH(G1092,Parametros!$A$2:$A$9,0))</f>
        <v/>
      </c>
      <c r="I1092" s="4">
        <f>1/(VALUE(MID(F1092,1,1))/Parametros!$E$2+VALUE(MID(F1092,2,1))/Parametros!$E$3+VALUE(MID(F1092,3,1))/Parametros!$E$4+VALUE(MID(F1092,4,1))/Parametros!$E$5)</f>
        <v/>
      </c>
      <c r="J1092" s="5">
        <f>IF(G1092=0,Parametros!$E$8,Parametros!$E$6+Parametros!$E$6*(Parametros!$E$7/G1092+I1092)/(Parametros!$E$6+Parametros!$E$7/G1092+I1092))</f>
        <v/>
      </c>
      <c r="K1092" s="2" t="inlineStr">
        <is>
          <t>2026-09-25 12:40</t>
        </is>
      </c>
      <c r="L1092" s="6" t="inlineStr">
        <is>
          <t>Válido</t>
        </is>
      </c>
      <c r="M1092" s="2">
        <f>IF(L1092="Válido","Sim","Não")</f>
        <v/>
      </c>
      <c r="N1092" s="2" t="inlineStr"/>
    </row>
    <row r="1093">
      <c r="A1093" s="2" t="inlineStr">
        <is>
          <t>4Bracos_R1010_210W_2026-09-25_12_40.csv</t>
        </is>
      </c>
      <c r="B1093" s="2" t="inlineStr">
        <is>
          <t>210W_3500RPM_R1010</t>
        </is>
      </c>
      <c r="C1093" s="2" t="n">
        <v>210</v>
      </c>
      <c r="D1093" s="2" t="n">
        <v>3500</v>
      </c>
      <c r="E1093" s="3">
        <f>D1093*2/60</f>
        <v/>
      </c>
      <c r="F1093" s="2" t="inlineStr">
        <is>
          <t>1010</t>
        </is>
      </c>
      <c r="G1093" s="2" t="n">
        <v>4</v>
      </c>
      <c r="H1093" s="2">
        <f>INDEX(Parametros!$B$2:$B$9,MATCH(G1093,Parametros!$A$2:$A$9,0))</f>
        <v/>
      </c>
      <c r="I1093" s="4">
        <f>1/(VALUE(MID(F1093,1,1))/Parametros!$E$2+VALUE(MID(F1093,2,1))/Parametros!$E$3+VALUE(MID(F1093,3,1))/Parametros!$E$4+VALUE(MID(F1093,4,1))/Parametros!$E$5)</f>
        <v/>
      </c>
      <c r="J1093" s="5">
        <f>IF(G1093=0,Parametros!$E$8,Parametros!$E$6+Parametros!$E$6*(Parametros!$E$7/G1093+I1093)/(Parametros!$E$6+Parametros!$E$7/G1093+I1093))</f>
        <v/>
      </c>
      <c r="K1093" s="2" t="inlineStr">
        <is>
          <t>2026-09-25 12:40</t>
        </is>
      </c>
      <c r="L1093" s="6" t="inlineStr">
        <is>
          <t>Válido</t>
        </is>
      </c>
      <c r="M1093" s="2">
        <f>IF(L1093="Válido","Sim","Não")</f>
        <v/>
      </c>
      <c r="N1093" s="2" t="inlineStr"/>
    </row>
    <row r="1094">
      <c r="A1094" s="2" t="inlineStr">
        <is>
          <t>3Bracos_R1010_210W_2026-09-25_12_40.csv</t>
        </is>
      </c>
      <c r="B1094" s="2" t="inlineStr">
        <is>
          <t>210W_3500RPM_R1010</t>
        </is>
      </c>
      <c r="C1094" s="2" t="n">
        <v>210</v>
      </c>
      <c r="D1094" s="2" t="n">
        <v>3500</v>
      </c>
      <c r="E1094" s="3">
        <f>D1094*2/60</f>
        <v/>
      </c>
      <c r="F1094" s="2" t="inlineStr">
        <is>
          <t>1010</t>
        </is>
      </c>
      <c r="G1094" s="2" t="n">
        <v>3</v>
      </c>
      <c r="H1094" s="2">
        <f>INDEX(Parametros!$B$2:$B$9,MATCH(G1094,Parametros!$A$2:$A$9,0))</f>
        <v/>
      </c>
      <c r="I1094" s="4">
        <f>1/(VALUE(MID(F1094,1,1))/Parametros!$E$2+VALUE(MID(F1094,2,1))/Parametros!$E$3+VALUE(MID(F1094,3,1))/Parametros!$E$4+VALUE(MID(F1094,4,1))/Parametros!$E$5)</f>
        <v/>
      </c>
      <c r="J1094" s="5">
        <f>IF(G1094=0,Parametros!$E$8,Parametros!$E$6+Parametros!$E$6*(Parametros!$E$7/G1094+I1094)/(Parametros!$E$6+Parametros!$E$7/G1094+I1094))</f>
        <v/>
      </c>
      <c r="K1094" s="2" t="inlineStr">
        <is>
          <t>2026-09-25 12:40</t>
        </is>
      </c>
      <c r="L1094" s="6" t="inlineStr">
        <is>
          <t>Válido</t>
        </is>
      </c>
      <c r="M1094" s="2">
        <f>IF(L1094="Válido","Sim","Não")</f>
        <v/>
      </c>
      <c r="N1094" s="2" t="inlineStr"/>
    </row>
    <row r="1095">
      <c r="A1095" s="2" t="inlineStr">
        <is>
          <t>2Bracos_R1010_210W_2026-09-25_12_40.csv</t>
        </is>
      </c>
      <c r="B1095" s="2" t="inlineStr">
        <is>
          <t>210W_3500RPM_R1010</t>
        </is>
      </c>
      <c r="C1095" s="2" t="n">
        <v>210</v>
      </c>
      <c r="D1095" s="2" t="n">
        <v>3500</v>
      </c>
      <c r="E1095" s="3">
        <f>D1095*2/60</f>
        <v/>
      </c>
      <c r="F1095" s="2" t="inlineStr">
        <is>
          <t>1010</t>
        </is>
      </c>
      <c r="G1095" s="2" t="n">
        <v>2</v>
      </c>
      <c r="H1095" s="2">
        <f>INDEX(Parametros!$B$2:$B$9,MATCH(G1095,Parametros!$A$2:$A$9,0))</f>
        <v/>
      </c>
      <c r="I1095" s="4">
        <f>1/(VALUE(MID(F1095,1,1))/Parametros!$E$2+VALUE(MID(F1095,2,1))/Parametros!$E$3+VALUE(MID(F1095,3,1))/Parametros!$E$4+VALUE(MID(F1095,4,1))/Parametros!$E$5)</f>
        <v/>
      </c>
      <c r="J1095" s="5">
        <f>IF(G1095=0,Parametros!$E$8,Parametros!$E$6+Parametros!$E$6*(Parametros!$E$7/G1095+I1095)/(Parametros!$E$6+Parametros!$E$7/G1095+I1095))</f>
        <v/>
      </c>
      <c r="K1095" s="2" t="inlineStr">
        <is>
          <t>2026-09-25 12:40</t>
        </is>
      </c>
      <c r="L1095" s="6" t="inlineStr">
        <is>
          <t>Válido</t>
        </is>
      </c>
      <c r="M1095" s="2">
        <f>IF(L1095="Válido","Sim","Não")</f>
        <v/>
      </c>
      <c r="N1095" s="2" t="inlineStr"/>
    </row>
    <row r="1096">
      <c r="A1096" s="2" t="inlineStr">
        <is>
          <t>1Bracos_R1010_210W_2026-09-25_12_40.csv</t>
        </is>
      </c>
      <c r="B1096" s="2" t="inlineStr">
        <is>
          <t>210W_3500RPM_R1010</t>
        </is>
      </c>
      <c r="C1096" s="2" t="n">
        <v>210</v>
      </c>
      <c r="D1096" s="2" t="n">
        <v>3500</v>
      </c>
      <c r="E1096" s="3">
        <f>D1096*2/60</f>
        <v/>
      </c>
      <c r="F1096" s="2" t="inlineStr">
        <is>
          <t>1010</t>
        </is>
      </c>
      <c r="G1096" s="2" t="n">
        <v>1</v>
      </c>
      <c r="H1096" s="2">
        <f>INDEX(Parametros!$B$2:$B$9,MATCH(G1096,Parametros!$A$2:$A$9,0))</f>
        <v/>
      </c>
      <c r="I1096" s="4">
        <f>1/(VALUE(MID(F1096,1,1))/Parametros!$E$2+VALUE(MID(F1096,2,1))/Parametros!$E$3+VALUE(MID(F1096,3,1))/Parametros!$E$4+VALUE(MID(F1096,4,1))/Parametros!$E$5)</f>
        <v/>
      </c>
      <c r="J1096" s="5">
        <f>IF(G1096=0,Parametros!$E$8,Parametros!$E$6+Parametros!$E$6*(Parametros!$E$7/G1096+I1096)/(Parametros!$E$6+Parametros!$E$7/G1096+I1096))</f>
        <v/>
      </c>
      <c r="K1096" s="2" t="inlineStr">
        <is>
          <t>2026-09-25 12:40</t>
        </is>
      </c>
      <c r="L1096" s="6" t="inlineStr">
        <is>
          <t>Válido</t>
        </is>
      </c>
      <c r="M1096" s="2">
        <f>IF(L1096="Válido","Sim","Não")</f>
        <v/>
      </c>
      <c r="N1096" s="2" t="inlineStr"/>
    </row>
    <row r="1097">
      <c r="A1097" s="2" t="inlineStr">
        <is>
          <t>0Bracos_R1010_210W_2026-09-25_12_40.csv</t>
        </is>
      </c>
      <c r="B1097" s="2" t="inlineStr">
        <is>
          <t>210W_3500RPM_R1010</t>
        </is>
      </c>
      <c r="C1097" s="2" t="n">
        <v>210</v>
      </c>
      <c r="D1097" s="2" t="n">
        <v>3500</v>
      </c>
      <c r="E1097" s="3">
        <f>D1097*2/60</f>
        <v/>
      </c>
      <c r="F1097" s="2" t="inlineStr">
        <is>
          <t>1010</t>
        </is>
      </c>
      <c r="G1097" s="2" t="n">
        <v>0</v>
      </c>
      <c r="H1097" s="2">
        <f>INDEX(Parametros!$B$2:$B$9,MATCH(G1097,Parametros!$A$2:$A$9,0))</f>
        <v/>
      </c>
      <c r="I1097" s="4">
        <f>1/(VALUE(MID(F1097,1,1))/Parametros!$E$2+VALUE(MID(F1097,2,1))/Parametros!$E$3+VALUE(MID(F1097,3,1))/Parametros!$E$4+VALUE(MID(F1097,4,1))/Parametros!$E$5)</f>
        <v/>
      </c>
      <c r="J1097" s="5">
        <f>IF(G1097=0,Parametros!$E$8,Parametros!$E$6+Parametros!$E$6*(Parametros!$E$7/G1097+I1097)/(Parametros!$E$6+Parametros!$E$7/G1097+I1097))</f>
        <v/>
      </c>
      <c r="K1097" s="2" t="inlineStr">
        <is>
          <t>2026-09-25 12:40</t>
        </is>
      </c>
      <c r="L1097" s="6" t="inlineStr">
        <is>
          <t>Válido</t>
        </is>
      </c>
      <c r="M1097" s="2">
        <f>IF(L1097="Válido","Sim","Não")</f>
        <v/>
      </c>
      <c r="N1097" s="2" t="inlineStr"/>
    </row>
    <row r="1098">
      <c r="A1098" s="2" t="inlineStr">
        <is>
          <t>7Bracos_R1011_210W_2026-09-25_12_40.csv</t>
        </is>
      </c>
      <c r="B1098" s="2" t="inlineStr">
        <is>
          <t>210W_3500RPM_R1011</t>
        </is>
      </c>
      <c r="C1098" s="2" t="n">
        <v>210</v>
      </c>
      <c r="D1098" s="2" t="n">
        <v>3500</v>
      </c>
      <c r="E1098" s="3">
        <f>D1098*2/60</f>
        <v/>
      </c>
      <c r="F1098" s="2" t="inlineStr">
        <is>
          <t>1011</t>
        </is>
      </c>
      <c r="G1098" s="2" t="n">
        <v>7</v>
      </c>
      <c r="H1098" s="2">
        <f>INDEX(Parametros!$B$2:$B$9,MATCH(G1098,Parametros!$A$2:$A$9,0))</f>
        <v/>
      </c>
      <c r="I1098" s="4">
        <f>1/(VALUE(MID(F1098,1,1))/Parametros!$E$2+VALUE(MID(F1098,2,1))/Parametros!$E$3+VALUE(MID(F1098,3,1))/Parametros!$E$4+VALUE(MID(F1098,4,1))/Parametros!$E$5)</f>
        <v/>
      </c>
      <c r="J1098" s="5">
        <f>IF(G1098=0,Parametros!$E$8,Parametros!$E$6+Parametros!$E$6*(Parametros!$E$7/G1098+I1098)/(Parametros!$E$6+Parametros!$E$7/G1098+I1098))</f>
        <v/>
      </c>
      <c r="K1098" s="2" t="inlineStr">
        <is>
          <t>2026-09-25 12:40</t>
        </is>
      </c>
      <c r="L1098" s="6" t="inlineStr">
        <is>
          <t>Válido</t>
        </is>
      </c>
      <c r="M1098" s="2">
        <f>IF(L1098="Válido","Sim","Não")</f>
        <v/>
      </c>
      <c r="N1098" s="2" t="inlineStr"/>
    </row>
    <row r="1099">
      <c r="A1099" s="2" t="inlineStr">
        <is>
          <t>6Bracos_R1011_210W_2026-09-25_12_40.csv</t>
        </is>
      </c>
      <c r="B1099" s="2" t="inlineStr">
        <is>
          <t>210W_3500RPM_R1011</t>
        </is>
      </c>
      <c r="C1099" s="2" t="n">
        <v>210</v>
      </c>
      <c r="D1099" s="2" t="n">
        <v>3500</v>
      </c>
      <c r="E1099" s="3">
        <f>D1099*2/60</f>
        <v/>
      </c>
      <c r="F1099" s="2" t="inlineStr">
        <is>
          <t>1011</t>
        </is>
      </c>
      <c r="G1099" s="2" t="n">
        <v>6</v>
      </c>
      <c r="H1099" s="2">
        <f>INDEX(Parametros!$B$2:$B$9,MATCH(G1099,Parametros!$A$2:$A$9,0))</f>
        <v/>
      </c>
      <c r="I1099" s="4">
        <f>1/(VALUE(MID(F1099,1,1))/Parametros!$E$2+VALUE(MID(F1099,2,1))/Parametros!$E$3+VALUE(MID(F1099,3,1))/Parametros!$E$4+VALUE(MID(F1099,4,1))/Parametros!$E$5)</f>
        <v/>
      </c>
      <c r="J1099" s="5">
        <f>IF(G1099=0,Parametros!$E$8,Parametros!$E$6+Parametros!$E$6*(Parametros!$E$7/G1099+I1099)/(Parametros!$E$6+Parametros!$E$7/G1099+I1099))</f>
        <v/>
      </c>
      <c r="K1099" s="2" t="inlineStr">
        <is>
          <t>2026-09-25 12:40</t>
        </is>
      </c>
      <c r="L1099" s="6" t="inlineStr">
        <is>
          <t>Válido</t>
        </is>
      </c>
      <c r="M1099" s="2">
        <f>IF(L1099="Válido","Sim","Não")</f>
        <v/>
      </c>
      <c r="N1099" s="2" t="inlineStr"/>
    </row>
    <row r="1100">
      <c r="A1100" s="2" t="inlineStr">
        <is>
          <t>5Bracos_R1011_210W_2026-09-25_12_40.csv</t>
        </is>
      </c>
      <c r="B1100" s="2" t="inlineStr">
        <is>
          <t>210W_3500RPM_R1011</t>
        </is>
      </c>
      <c r="C1100" s="2" t="n">
        <v>210</v>
      </c>
      <c r="D1100" s="2" t="n">
        <v>3500</v>
      </c>
      <c r="E1100" s="3">
        <f>D1100*2/60</f>
        <v/>
      </c>
      <c r="F1100" s="2" t="inlineStr">
        <is>
          <t>1011</t>
        </is>
      </c>
      <c r="G1100" s="2" t="n">
        <v>5</v>
      </c>
      <c r="H1100" s="2">
        <f>INDEX(Parametros!$B$2:$B$9,MATCH(G1100,Parametros!$A$2:$A$9,0))</f>
        <v/>
      </c>
      <c r="I1100" s="4">
        <f>1/(VALUE(MID(F1100,1,1))/Parametros!$E$2+VALUE(MID(F1100,2,1))/Parametros!$E$3+VALUE(MID(F1100,3,1))/Parametros!$E$4+VALUE(MID(F1100,4,1))/Parametros!$E$5)</f>
        <v/>
      </c>
      <c r="J1100" s="5">
        <f>IF(G1100=0,Parametros!$E$8,Parametros!$E$6+Parametros!$E$6*(Parametros!$E$7/G1100+I1100)/(Parametros!$E$6+Parametros!$E$7/G1100+I1100))</f>
        <v/>
      </c>
      <c r="K1100" s="2" t="inlineStr">
        <is>
          <t>2026-09-25 12:40</t>
        </is>
      </c>
      <c r="L1100" s="6" t="inlineStr">
        <is>
          <t>Válido</t>
        </is>
      </c>
      <c r="M1100" s="2">
        <f>IF(L1100="Válido","Sim","Não")</f>
        <v/>
      </c>
      <c r="N1100" s="2" t="inlineStr"/>
    </row>
    <row r="1101">
      <c r="A1101" s="2" t="inlineStr">
        <is>
          <t>4Bracos_R1011_210W_2026-09-25_12_40.csv</t>
        </is>
      </c>
      <c r="B1101" s="2" t="inlineStr">
        <is>
          <t>210W_3500RPM_R1011</t>
        </is>
      </c>
      <c r="C1101" s="2" t="n">
        <v>210</v>
      </c>
      <c r="D1101" s="2" t="n">
        <v>3500</v>
      </c>
      <c r="E1101" s="3">
        <f>D1101*2/60</f>
        <v/>
      </c>
      <c r="F1101" s="2" t="inlineStr">
        <is>
          <t>1011</t>
        </is>
      </c>
      <c r="G1101" s="2" t="n">
        <v>4</v>
      </c>
      <c r="H1101" s="2">
        <f>INDEX(Parametros!$B$2:$B$9,MATCH(G1101,Parametros!$A$2:$A$9,0))</f>
        <v/>
      </c>
      <c r="I1101" s="4">
        <f>1/(VALUE(MID(F1101,1,1))/Parametros!$E$2+VALUE(MID(F1101,2,1))/Parametros!$E$3+VALUE(MID(F1101,3,1))/Parametros!$E$4+VALUE(MID(F1101,4,1))/Parametros!$E$5)</f>
        <v/>
      </c>
      <c r="J1101" s="5">
        <f>IF(G1101=0,Parametros!$E$8,Parametros!$E$6+Parametros!$E$6*(Parametros!$E$7/G1101+I1101)/(Parametros!$E$6+Parametros!$E$7/G1101+I1101))</f>
        <v/>
      </c>
      <c r="K1101" s="2" t="inlineStr">
        <is>
          <t>2026-09-25 12:40</t>
        </is>
      </c>
      <c r="L1101" s="6" t="inlineStr">
        <is>
          <t>Válido</t>
        </is>
      </c>
      <c r="M1101" s="2">
        <f>IF(L1101="Válido","Sim","Não")</f>
        <v/>
      </c>
      <c r="N1101" s="2" t="inlineStr"/>
    </row>
    <row r="1102">
      <c r="A1102" s="2" t="inlineStr">
        <is>
          <t>3Bracos_R1011_210W_2026-09-25_12_40.csv</t>
        </is>
      </c>
      <c r="B1102" s="2" t="inlineStr">
        <is>
          <t>210W_3500RPM_R1011</t>
        </is>
      </c>
      <c r="C1102" s="2" t="n">
        <v>210</v>
      </c>
      <c r="D1102" s="2" t="n">
        <v>3500</v>
      </c>
      <c r="E1102" s="3">
        <f>D1102*2/60</f>
        <v/>
      </c>
      <c r="F1102" s="2" t="inlineStr">
        <is>
          <t>1011</t>
        </is>
      </c>
      <c r="G1102" s="2" t="n">
        <v>3</v>
      </c>
      <c r="H1102" s="2">
        <f>INDEX(Parametros!$B$2:$B$9,MATCH(G1102,Parametros!$A$2:$A$9,0))</f>
        <v/>
      </c>
      <c r="I1102" s="4">
        <f>1/(VALUE(MID(F1102,1,1))/Parametros!$E$2+VALUE(MID(F1102,2,1))/Parametros!$E$3+VALUE(MID(F1102,3,1))/Parametros!$E$4+VALUE(MID(F1102,4,1))/Parametros!$E$5)</f>
        <v/>
      </c>
      <c r="J1102" s="5">
        <f>IF(G1102=0,Parametros!$E$8,Parametros!$E$6+Parametros!$E$6*(Parametros!$E$7/G1102+I1102)/(Parametros!$E$6+Parametros!$E$7/G1102+I1102))</f>
        <v/>
      </c>
      <c r="K1102" s="2" t="inlineStr">
        <is>
          <t>2026-09-25 12:40</t>
        </is>
      </c>
      <c r="L1102" s="6" t="inlineStr">
        <is>
          <t>Válido</t>
        </is>
      </c>
      <c r="M1102" s="2">
        <f>IF(L1102="Válido","Sim","Não")</f>
        <v/>
      </c>
      <c r="N1102" s="2" t="inlineStr"/>
    </row>
    <row r="1103">
      <c r="A1103" s="2" t="inlineStr">
        <is>
          <t>2Bracos_R1011_210W_2026-09-25_12_40.csv</t>
        </is>
      </c>
      <c r="B1103" s="2" t="inlineStr">
        <is>
          <t>210W_3500RPM_R1011</t>
        </is>
      </c>
      <c r="C1103" s="2" t="n">
        <v>210</v>
      </c>
      <c r="D1103" s="2" t="n">
        <v>3500</v>
      </c>
      <c r="E1103" s="3">
        <f>D1103*2/60</f>
        <v/>
      </c>
      <c r="F1103" s="2" t="inlineStr">
        <is>
          <t>1011</t>
        </is>
      </c>
      <c r="G1103" s="2" t="n">
        <v>2</v>
      </c>
      <c r="H1103" s="2">
        <f>INDEX(Parametros!$B$2:$B$9,MATCH(G1103,Parametros!$A$2:$A$9,0))</f>
        <v/>
      </c>
      <c r="I1103" s="4">
        <f>1/(VALUE(MID(F1103,1,1))/Parametros!$E$2+VALUE(MID(F1103,2,1))/Parametros!$E$3+VALUE(MID(F1103,3,1))/Parametros!$E$4+VALUE(MID(F1103,4,1))/Parametros!$E$5)</f>
        <v/>
      </c>
      <c r="J1103" s="5">
        <f>IF(G1103=0,Parametros!$E$8,Parametros!$E$6+Parametros!$E$6*(Parametros!$E$7/G1103+I1103)/(Parametros!$E$6+Parametros!$E$7/G1103+I1103))</f>
        <v/>
      </c>
      <c r="K1103" s="2" t="inlineStr">
        <is>
          <t>2026-09-25 12:40</t>
        </is>
      </c>
      <c r="L1103" s="6" t="inlineStr">
        <is>
          <t>Válido</t>
        </is>
      </c>
      <c r="M1103" s="2">
        <f>IF(L1103="Válido","Sim","Não")</f>
        <v/>
      </c>
      <c r="N1103" s="2" t="inlineStr"/>
    </row>
    <row r="1104">
      <c r="A1104" s="2" t="inlineStr">
        <is>
          <t>1Bracos_R1011_210W_2026-09-25_12_40.csv</t>
        </is>
      </c>
      <c r="B1104" s="2" t="inlineStr">
        <is>
          <t>210W_3500RPM_R1011</t>
        </is>
      </c>
      <c r="C1104" s="2" t="n">
        <v>210</v>
      </c>
      <c r="D1104" s="2" t="n">
        <v>3500</v>
      </c>
      <c r="E1104" s="3">
        <f>D1104*2/60</f>
        <v/>
      </c>
      <c r="F1104" s="2" t="inlineStr">
        <is>
          <t>1011</t>
        </is>
      </c>
      <c r="G1104" s="2" t="n">
        <v>1</v>
      </c>
      <c r="H1104" s="2">
        <f>INDEX(Parametros!$B$2:$B$9,MATCH(G1104,Parametros!$A$2:$A$9,0))</f>
        <v/>
      </c>
      <c r="I1104" s="4">
        <f>1/(VALUE(MID(F1104,1,1))/Parametros!$E$2+VALUE(MID(F1104,2,1))/Parametros!$E$3+VALUE(MID(F1104,3,1))/Parametros!$E$4+VALUE(MID(F1104,4,1))/Parametros!$E$5)</f>
        <v/>
      </c>
      <c r="J1104" s="5">
        <f>IF(G1104=0,Parametros!$E$8,Parametros!$E$6+Parametros!$E$6*(Parametros!$E$7/G1104+I1104)/(Parametros!$E$6+Parametros!$E$7/G1104+I1104))</f>
        <v/>
      </c>
      <c r="K1104" s="2" t="inlineStr">
        <is>
          <t>2026-09-25 12:40</t>
        </is>
      </c>
      <c r="L1104" s="6" t="inlineStr">
        <is>
          <t>Válido</t>
        </is>
      </c>
      <c r="M1104" s="2">
        <f>IF(L1104="Válido","Sim","Não")</f>
        <v/>
      </c>
      <c r="N1104" s="2" t="inlineStr"/>
    </row>
    <row r="1105">
      <c r="A1105" s="2" t="inlineStr">
        <is>
          <t>0Bracos_R1011_210W_2026-09-25_12_40.csv</t>
        </is>
      </c>
      <c r="B1105" s="2" t="inlineStr">
        <is>
          <t>210W_3500RPM_R1011</t>
        </is>
      </c>
      <c r="C1105" s="2" t="n">
        <v>210</v>
      </c>
      <c r="D1105" s="2" t="n">
        <v>3500</v>
      </c>
      <c r="E1105" s="3">
        <f>D1105*2/60</f>
        <v/>
      </c>
      <c r="F1105" s="2" t="inlineStr">
        <is>
          <t>1011</t>
        </is>
      </c>
      <c r="G1105" s="2" t="n">
        <v>0</v>
      </c>
      <c r="H1105" s="2">
        <f>INDEX(Parametros!$B$2:$B$9,MATCH(G1105,Parametros!$A$2:$A$9,0))</f>
        <v/>
      </c>
      <c r="I1105" s="4">
        <f>1/(VALUE(MID(F1105,1,1))/Parametros!$E$2+VALUE(MID(F1105,2,1))/Parametros!$E$3+VALUE(MID(F1105,3,1))/Parametros!$E$4+VALUE(MID(F1105,4,1))/Parametros!$E$5)</f>
        <v/>
      </c>
      <c r="J1105" s="5">
        <f>IF(G1105=0,Parametros!$E$8,Parametros!$E$6+Parametros!$E$6*(Parametros!$E$7/G1105+I1105)/(Parametros!$E$6+Parametros!$E$7/G1105+I1105))</f>
        <v/>
      </c>
      <c r="K1105" s="2" t="inlineStr">
        <is>
          <t>2026-09-25 12:40</t>
        </is>
      </c>
      <c r="L1105" s="6" t="inlineStr">
        <is>
          <t>Válido</t>
        </is>
      </c>
      <c r="M1105" s="2">
        <f>IF(L1105="Válido","Sim","Não")</f>
        <v/>
      </c>
      <c r="N1105" s="2" t="inlineStr"/>
    </row>
    <row r="1106">
      <c r="A1106" s="2" t="inlineStr">
        <is>
          <t>7Bracos_R1100_210W_2026-09-25_12_40.csv</t>
        </is>
      </c>
      <c r="B1106" s="2" t="inlineStr">
        <is>
          <t>210W_3500RPM_R1100</t>
        </is>
      </c>
      <c r="C1106" s="2" t="n">
        <v>210</v>
      </c>
      <c r="D1106" s="2" t="n">
        <v>3500</v>
      </c>
      <c r="E1106" s="3">
        <f>D1106*2/60</f>
        <v/>
      </c>
      <c r="F1106" s="2" t="inlineStr">
        <is>
          <t>1100</t>
        </is>
      </c>
      <c r="G1106" s="2" t="n">
        <v>7</v>
      </c>
      <c r="H1106" s="2">
        <f>INDEX(Parametros!$B$2:$B$9,MATCH(G1106,Parametros!$A$2:$A$9,0))</f>
        <v/>
      </c>
      <c r="I1106" s="4">
        <f>1/(VALUE(MID(F1106,1,1))/Parametros!$E$2+VALUE(MID(F1106,2,1))/Parametros!$E$3+VALUE(MID(F1106,3,1))/Parametros!$E$4+VALUE(MID(F1106,4,1))/Parametros!$E$5)</f>
        <v/>
      </c>
      <c r="J1106" s="5">
        <f>IF(G1106=0,Parametros!$E$8,Parametros!$E$6+Parametros!$E$6*(Parametros!$E$7/G1106+I1106)/(Parametros!$E$6+Parametros!$E$7/G1106+I1106))</f>
        <v/>
      </c>
      <c r="K1106" s="2" t="inlineStr">
        <is>
          <t>2026-09-25 12:40</t>
        </is>
      </c>
      <c r="L1106" s="6" t="inlineStr">
        <is>
          <t>Válido</t>
        </is>
      </c>
      <c r="M1106" s="2">
        <f>IF(L1106="Válido","Sim","Não")</f>
        <v/>
      </c>
      <c r="N1106" s="2" t="inlineStr"/>
    </row>
    <row r="1107">
      <c r="A1107" s="2" t="inlineStr">
        <is>
          <t>6Bracos_R1100_210W_2026-09-25_12_40.csv</t>
        </is>
      </c>
      <c r="B1107" s="2" t="inlineStr">
        <is>
          <t>210W_3500RPM_R1100</t>
        </is>
      </c>
      <c r="C1107" s="2" t="n">
        <v>210</v>
      </c>
      <c r="D1107" s="2" t="n">
        <v>3500</v>
      </c>
      <c r="E1107" s="3">
        <f>D1107*2/60</f>
        <v/>
      </c>
      <c r="F1107" s="2" t="inlineStr">
        <is>
          <t>1100</t>
        </is>
      </c>
      <c r="G1107" s="2" t="n">
        <v>6</v>
      </c>
      <c r="H1107" s="2">
        <f>INDEX(Parametros!$B$2:$B$9,MATCH(G1107,Parametros!$A$2:$A$9,0))</f>
        <v/>
      </c>
      <c r="I1107" s="4">
        <f>1/(VALUE(MID(F1107,1,1))/Parametros!$E$2+VALUE(MID(F1107,2,1))/Parametros!$E$3+VALUE(MID(F1107,3,1))/Parametros!$E$4+VALUE(MID(F1107,4,1))/Parametros!$E$5)</f>
        <v/>
      </c>
      <c r="J1107" s="5">
        <f>IF(G1107=0,Parametros!$E$8,Parametros!$E$6+Parametros!$E$6*(Parametros!$E$7/G1107+I1107)/(Parametros!$E$6+Parametros!$E$7/G1107+I1107))</f>
        <v/>
      </c>
      <c r="K1107" s="2" t="inlineStr">
        <is>
          <t>2026-09-25 12:40</t>
        </is>
      </c>
      <c r="L1107" s="6" t="inlineStr">
        <is>
          <t>Válido</t>
        </is>
      </c>
      <c r="M1107" s="2">
        <f>IF(L1107="Válido","Sim","Não")</f>
        <v/>
      </c>
      <c r="N1107" s="2" t="inlineStr"/>
    </row>
    <row r="1108">
      <c r="A1108" s="2" t="inlineStr">
        <is>
          <t>5Bracos_R1100_210W_2026-09-25_12_40.csv</t>
        </is>
      </c>
      <c r="B1108" s="2" t="inlineStr">
        <is>
          <t>210W_3500RPM_R1100</t>
        </is>
      </c>
      <c r="C1108" s="2" t="n">
        <v>210</v>
      </c>
      <c r="D1108" s="2" t="n">
        <v>3500</v>
      </c>
      <c r="E1108" s="3">
        <f>D1108*2/60</f>
        <v/>
      </c>
      <c r="F1108" s="2" t="inlineStr">
        <is>
          <t>1100</t>
        </is>
      </c>
      <c r="G1108" s="2" t="n">
        <v>5</v>
      </c>
      <c r="H1108" s="2">
        <f>INDEX(Parametros!$B$2:$B$9,MATCH(G1108,Parametros!$A$2:$A$9,0))</f>
        <v/>
      </c>
      <c r="I1108" s="4">
        <f>1/(VALUE(MID(F1108,1,1))/Parametros!$E$2+VALUE(MID(F1108,2,1))/Parametros!$E$3+VALUE(MID(F1108,3,1))/Parametros!$E$4+VALUE(MID(F1108,4,1))/Parametros!$E$5)</f>
        <v/>
      </c>
      <c r="J1108" s="5">
        <f>IF(G1108=0,Parametros!$E$8,Parametros!$E$6+Parametros!$E$6*(Parametros!$E$7/G1108+I1108)/(Parametros!$E$6+Parametros!$E$7/G1108+I1108))</f>
        <v/>
      </c>
      <c r="K1108" s="2" t="inlineStr">
        <is>
          <t>2026-09-25 12:40</t>
        </is>
      </c>
      <c r="L1108" s="6" t="inlineStr">
        <is>
          <t>Válido</t>
        </is>
      </c>
      <c r="M1108" s="2">
        <f>IF(L1108="Válido","Sim","Não")</f>
        <v/>
      </c>
      <c r="N1108" s="2" t="inlineStr"/>
    </row>
    <row r="1109">
      <c r="A1109" s="2" t="inlineStr">
        <is>
          <t>4Bracos_R1100_210W_2026-09-25_12_40.csv</t>
        </is>
      </c>
      <c r="B1109" s="2" t="inlineStr">
        <is>
          <t>210W_3500RPM_R1100</t>
        </is>
      </c>
      <c r="C1109" s="2" t="n">
        <v>210</v>
      </c>
      <c r="D1109" s="2" t="n">
        <v>3500</v>
      </c>
      <c r="E1109" s="3">
        <f>D1109*2/60</f>
        <v/>
      </c>
      <c r="F1109" s="2" t="inlineStr">
        <is>
          <t>1100</t>
        </is>
      </c>
      <c r="G1109" s="2" t="n">
        <v>4</v>
      </c>
      <c r="H1109" s="2">
        <f>INDEX(Parametros!$B$2:$B$9,MATCH(G1109,Parametros!$A$2:$A$9,0))</f>
        <v/>
      </c>
      <c r="I1109" s="4">
        <f>1/(VALUE(MID(F1109,1,1))/Parametros!$E$2+VALUE(MID(F1109,2,1))/Parametros!$E$3+VALUE(MID(F1109,3,1))/Parametros!$E$4+VALUE(MID(F1109,4,1))/Parametros!$E$5)</f>
        <v/>
      </c>
      <c r="J1109" s="5">
        <f>IF(G1109=0,Parametros!$E$8,Parametros!$E$6+Parametros!$E$6*(Parametros!$E$7/G1109+I1109)/(Parametros!$E$6+Parametros!$E$7/G1109+I1109))</f>
        <v/>
      </c>
      <c r="K1109" s="2" t="inlineStr">
        <is>
          <t>2026-09-25 12:40</t>
        </is>
      </c>
      <c r="L1109" s="6" t="inlineStr">
        <is>
          <t>Válido</t>
        </is>
      </c>
      <c r="M1109" s="2">
        <f>IF(L1109="Válido","Sim","Não")</f>
        <v/>
      </c>
      <c r="N1109" s="2" t="inlineStr"/>
    </row>
    <row r="1110">
      <c r="A1110" s="2" t="inlineStr">
        <is>
          <t>3Bracos_R1100_210W_2026-09-25_12_40.csv</t>
        </is>
      </c>
      <c r="B1110" s="2" t="inlineStr">
        <is>
          <t>210W_3500RPM_R1100</t>
        </is>
      </c>
      <c r="C1110" s="2" t="n">
        <v>210</v>
      </c>
      <c r="D1110" s="2" t="n">
        <v>3500</v>
      </c>
      <c r="E1110" s="3">
        <f>D1110*2/60</f>
        <v/>
      </c>
      <c r="F1110" s="2" t="inlineStr">
        <is>
          <t>1100</t>
        </is>
      </c>
      <c r="G1110" s="2" t="n">
        <v>3</v>
      </c>
      <c r="H1110" s="2">
        <f>INDEX(Parametros!$B$2:$B$9,MATCH(G1110,Parametros!$A$2:$A$9,0))</f>
        <v/>
      </c>
      <c r="I1110" s="4">
        <f>1/(VALUE(MID(F1110,1,1))/Parametros!$E$2+VALUE(MID(F1110,2,1))/Parametros!$E$3+VALUE(MID(F1110,3,1))/Parametros!$E$4+VALUE(MID(F1110,4,1))/Parametros!$E$5)</f>
        <v/>
      </c>
      <c r="J1110" s="5">
        <f>IF(G1110=0,Parametros!$E$8,Parametros!$E$6+Parametros!$E$6*(Parametros!$E$7/G1110+I1110)/(Parametros!$E$6+Parametros!$E$7/G1110+I1110))</f>
        <v/>
      </c>
      <c r="K1110" s="2" t="inlineStr">
        <is>
          <t>2026-09-25 12:40</t>
        </is>
      </c>
      <c r="L1110" s="6" t="inlineStr">
        <is>
          <t>Válido</t>
        </is>
      </c>
      <c r="M1110" s="2">
        <f>IF(L1110="Válido","Sim","Não")</f>
        <v/>
      </c>
      <c r="N1110" s="2" t="inlineStr"/>
    </row>
    <row r="1111">
      <c r="A1111" s="2" t="inlineStr">
        <is>
          <t>2Bracos_R1100_210W_2026-09-25_12_40.csv</t>
        </is>
      </c>
      <c r="B1111" s="2" t="inlineStr">
        <is>
          <t>210W_3500RPM_R1100</t>
        </is>
      </c>
      <c r="C1111" s="2" t="n">
        <v>210</v>
      </c>
      <c r="D1111" s="2" t="n">
        <v>3500</v>
      </c>
      <c r="E1111" s="3">
        <f>D1111*2/60</f>
        <v/>
      </c>
      <c r="F1111" s="2" t="inlineStr">
        <is>
          <t>1100</t>
        </is>
      </c>
      <c r="G1111" s="2" t="n">
        <v>2</v>
      </c>
      <c r="H1111" s="2">
        <f>INDEX(Parametros!$B$2:$B$9,MATCH(G1111,Parametros!$A$2:$A$9,0))</f>
        <v/>
      </c>
      <c r="I1111" s="4">
        <f>1/(VALUE(MID(F1111,1,1))/Parametros!$E$2+VALUE(MID(F1111,2,1))/Parametros!$E$3+VALUE(MID(F1111,3,1))/Parametros!$E$4+VALUE(MID(F1111,4,1))/Parametros!$E$5)</f>
        <v/>
      </c>
      <c r="J1111" s="5">
        <f>IF(G1111=0,Parametros!$E$8,Parametros!$E$6+Parametros!$E$6*(Parametros!$E$7/G1111+I1111)/(Parametros!$E$6+Parametros!$E$7/G1111+I1111))</f>
        <v/>
      </c>
      <c r="K1111" s="2" t="inlineStr">
        <is>
          <t>2026-09-25 12:40</t>
        </is>
      </c>
      <c r="L1111" s="6" t="inlineStr">
        <is>
          <t>Válido</t>
        </is>
      </c>
      <c r="M1111" s="2">
        <f>IF(L1111="Válido","Sim","Não")</f>
        <v/>
      </c>
      <c r="N1111" s="2" t="inlineStr"/>
    </row>
    <row r="1112">
      <c r="A1112" s="2" t="inlineStr">
        <is>
          <t>1Bracos_R1100_210W_2026-09-25_12_40.csv</t>
        </is>
      </c>
      <c r="B1112" s="2" t="inlineStr">
        <is>
          <t>210W_3500RPM_R1100</t>
        </is>
      </c>
      <c r="C1112" s="2" t="n">
        <v>210</v>
      </c>
      <c r="D1112" s="2" t="n">
        <v>3500</v>
      </c>
      <c r="E1112" s="3">
        <f>D1112*2/60</f>
        <v/>
      </c>
      <c r="F1112" s="2" t="inlineStr">
        <is>
          <t>1100</t>
        </is>
      </c>
      <c r="G1112" s="2" t="n">
        <v>1</v>
      </c>
      <c r="H1112" s="2">
        <f>INDEX(Parametros!$B$2:$B$9,MATCH(G1112,Parametros!$A$2:$A$9,0))</f>
        <v/>
      </c>
      <c r="I1112" s="4">
        <f>1/(VALUE(MID(F1112,1,1))/Parametros!$E$2+VALUE(MID(F1112,2,1))/Parametros!$E$3+VALUE(MID(F1112,3,1))/Parametros!$E$4+VALUE(MID(F1112,4,1))/Parametros!$E$5)</f>
        <v/>
      </c>
      <c r="J1112" s="5">
        <f>IF(G1112=0,Parametros!$E$8,Parametros!$E$6+Parametros!$E$6*(Parametros!$E$7/G1112+I1112)/(Parametros!$E$6+Parametros!$E$7/G1112+I1112))</f>
        <v/>
      </c>
      <c r="K1112" s="2" t="inlineStr">
        <is>
          <t>2026-09-25 12:40</t>
        </is>
      </c>
      <c r="L1112" s="6" t="inlineStr">
        <is>
          <t>Válido</t>
        </is>
      </c>
      <c r="M1112" s="2">
        <f>IF(L1112="Válido","Sim","Não")</f>
        <v/>
      </c>
      <c r="N1112" s="2" t="inlineStr"/>
    </row>
    <row r="1113">
      <c r="A1113" s="2" t="inlineStr">
        <is>
          <t>0Bracos_R1100_210W_2026-09-25_12_40.csv</t>
        </is>
      </c>
      <c r="B1113" s="2" t="inlineStr">
        <is>
          <t>210W_3500RPM_R1100</t>
        </is>
      </c>
      <c r="C1113" s="2" t="n">
        <v>210</v>
      </c>
      <c r="D1113" s="2" t="n">
        <v>3500</v>
      </c>
      <c r="E1113" s="3">
        <f>D1113*2/60</f>
        <v/>
      </c>
      <c r="F1113" s="2" t="inlineStr">
        <is>
          <t>1100</t>
        </is>
      </c>
      <c r="G1113" s="2" t="n">
        <v>0</v>
      </c>
      <c r="H1113" s="2">
        <f>INDEX(Parametros!$B$2:$B$9,MATCH(G1113,Parametros!$A$2:$A$9,0))</f>
        <v/>
      </c>
      <c r="I1113" s="4">
        <f>1/(VALUE(MID(F1113,1,1))/Parametros!$E$2+VALUE(MID(F1113,2,1))/Parametros!$E$3+VALUE(MID(F1113,3,1))/Parametros!$E$4+VALUE(MID(F1113,4,1))/Parametros!$E$5)</f>
        <v/>
      </c>
      <c r="J1113" s="5">
        <f>IF(G1113=0,Parametros!$E$8,Parametros!$E$6+Parametros!$E$6*(Parametros!$E$7/G1113+I1113)/(Parametros!$E$6+Parametros!$E$7/G1113+I1113))</f>
        <v/>
      </c>
      <c r="K1113" s="2" t="inlineStr">
        <is>
          <t>2026-09-25 12:40</t>
        </is>
      </c>
      <c r="L1113" s="6" t="inlineStr">
        <is>
          <t>Válido</t>
        </is>
      </c>
      <c r="M1113" s="2">
        <f>IF(L1113="Válido","Sim","Não")</f>
        <v/>
      </c>
      <c r="N1113" s="2" t="inlineStr"/>
    </row>
    <row r="1114">
      <c r="A1114" s="2" t="inlineStr">
        <is>
          <t>7Bracos_R1101_210W_2026-09-25_12_40.csv</t>
        </is>
      </c>
      <c r="B1114" s="2" t="inlineStr">
        <is>
          <t>210W_3500RPM_R1101</t>
        </is>
      </c>
      <c r="C1114" s="2" t="n">
        <v>210</v>
      </c>
      <c r="D1114" s="2" t="n">
        <v>3500</v>
      </c>
      <c r="E1114" s="3">
        <f>D1114*2/60</f>
        <v/>
      </c>
      <c r="F1114" s="2" t="inlineStr">
        <is>
          <t>1101</t>
        </is>
      </c>
      <c r="G1114" s="2" t="n">
        <v>7</v>
      </c>
      <c r="H1114" s="2">
        <f>INDEX(Parametros!$B$2:$B$9,MATCH(G1114,Parametros!$A$2:$A$9,0))</f>
        <v/>
      </c>
      <c r="I1114" s="4">
        <f>1/(VALUE(MID(F1114,1,1))/Parametros!$E$2+VALUE(MID(F1114,2,1))/Parametros!$E$3+VALUE(MID(F1114,3,1))/Parametros!$E$4+VALUE(MID(F1114,4,1))/Parametros!$E$5)</f>
        <v/>
      </c>
      <c r="J1114" s="5">
        <f>IF(G1114=0,Parametros!$E$8,Parametros!$E$6+Parametros!$E$6*(Parametros!$E$7/G1114+I1114)/(Parametros!$E$6+Parametros!$E$7/G1114+I1114))</f>
        <v/>
      </c>
      <c r="K1114" s="2" t="inlineStr">
        <is>
          <t>2026-09-25 12:40</t>
        </is>
      </c>
      <c r="L1114" s="6" t="inlineStr">
        <is>
          <t>Válido</t>
        </is>
      </c>
      <c r="M1114" s="2">
        <f>IF(L1114="Válido","Sim","Não")</f>
        <v/>
      </c>
      <c r="N1114" s="2" t="inlineStr"/>
    </row>
    <row r="1115">
      <c r="A1115" s="2" t="inlineStr">
        <is>
          <t>6Bracos_R1101_210W_2026-09-25_12_40.csv</t>
        </is>
      </c>
      <c r="B1115" s="2" t="inlineStr">
        <is>
          <t>210W_3500RPM_R1101</t>
        </is>
      </c>
      <c r="C1115" s="2" t="n">
        <v>210</v>
      </c>
      <c r="D1115" s="2" t="n">
        <v>3500</v>
      </c>
      <c r="E1115" s="3">
        <f>D1115*2/60</f>
        <v/>
      </c>
      <c r="F1115" s="2" t="inlineStr">
        <is>
          <t>1101</t>
        </is>
      </c>
      <c r="G1115" s="2" t="n">
        <v>6</v>
      </c>
      <c r="H1115" s="2">
        <f>INDEX(Parametros!$B$2:$B$9,MATCH(G1115,Parametros!$A$2:$A$9,0))</f>
        <v/>
      </c>
      <c r="I1115" s="4">
        <f>1/(VALUE(MID(F1115,1,1))/Parametros!$E$2+VALUE(MID(F1115,2,1))/Parametros!$E$3+VALUE(MID(F1115,3,1))/Parametros!$E$4+VALUE(MID(F1115,4,1))/Parametros!$E$5)</f>
        <v/>
      </c>
      <c r="J1115" s="5">
        <f>IF(G1115=0,Parametros!$E$8,Parametros!$E$6+Parametros!$E$6*(Parametros!$E$7/G1115+I1115)/(Parametros!$E$6+Parametros!$E$7/G1115+I1115))</f>
        <v/>
      </c>
      <c r="K1115" s="2" t="inlineStr">
        <is>
          <t>2026-09-25 12:40</t>
        </is>
      </c>
      <c r="L1115" s="6" t="inlineStr">
        <is>
          <t>Válido</t>
        </is>
      </c>
      <c r="M1115" s="2">
        <f>IF(L1115="Válido","Sim","Não")</f>
        <v/>
      </c>
      <c r="N1115" s="2" t="inlineStr"/>
    </row>
    <row r="1116">
      <c r="A1116" s="2" t="inlineStr">
        <is>
          <t>5Bracos_R1101_210W_2026-09-25_12_40.csv</t>
        </is>
      </c>
      <c r="B1116" s="2" t="inlineStr">
        <is>
          <t>210W_3500RPM_R1101</t>
        </is>
      </c>
      <c r="C1116" s="2" t="n">
        <v>210</v>
      </c>
      <c r="D1116" s="2" t="n">
        <v>3500</v>
      </c>
      <c r="E1116" s="3">
        <f>D1116*2/60</f>
        <v/>
      </c>
      <c r="F1116" s="2" t="inlineStr">
        <is>
          <t>1101</t>
        </is>
      </c>
      <c r="G1116" s="2" t="n">
        <v>5</v>
      </c>
      <c r="H1116" s="2">
        <f>INDEX(Parametros!$B$2:$B$9,MATCH(G1116,Parametros!$A$2:$A$9,0))</f>
        <v/>
      </c>
      <c r="I1116" s="4">
        <f>1/(VALUE(MID(F1116,1,1))/Parametros!$E$2+VALUE(MID(F1116,2,1))/Parametros!$E$3+VALUE(MID(F1116,3,1))/Parametros!$E$4+VALUE(MID(F1116,4,1))/Parametros!$E$5)</f>
        <v/>
      </c>
      <c r="J1116" s="5">
        <f>IF(G1116=0,Parametros!$E$8,Parametros!$E$6+Parametros!$E$6*(Parametros!$E$7/G1116+I1116)/(Parametros!$E$6+Parametros!$E$7/G1116+I1116))</f>
        <v/>
      </c>
      <c r="K1116" s="2" t="inlineStr">
        <is>
          <t>2026-09-25 12:40</t>
        </is>
      </c>
      <c r="L1116" s="6" t="inlineStr">
        <is>
          <t>Válido</t>
        </is>
      </c>
      <c r="M1116" s="2">
        <f>IF(L1116="Válido","Sim","Não")</f>
        <v/>
      </c>
      <c r="N1116" s="2" t="inlineStr"/>
    </row>
    <row r="1117">
      <c r="A1117" s="2" t="inlineStr">
        <is>
          <t>4Bracos_R1101_210W_2026-09-25_12_40.csv</t>
        </is>
      </c>
      <c r="B1117" s="2" t="inlineStr">
        <is>
          <t>210W_3500RPM_R1101</t>
        </is>
      </c>
      <c r="C1117" s="2" t="n">
        <v>210</v>
      </c>
      <c r="D1117" s="2" t="n">
        <v>3500</v>
      </c>
      <c r="E1117" s="3">
        <f>D1117*2/60</f>
        <v/>
      </c>
      <c r="F1117" s="2" t="inlineStr">
        <is>
          <t>1101</t>
        </is>
      </c>
      <c r="G1117" s="2" t="n">
        <v>4</v>
      </c>
      <c r="H1117" s="2">
        <f>INDEX(Parametros!$B$2:$B$9,MATCH(G1117,Parametros!$A$2:$A$9,0))</f>
        <v/>
      </c>
      <c r="I1117" s="4">
        <f>1/(VALUE(MID(F1117,1,1))/Parametros!$E$2+VALUE(MID(F1117,2,1))/Parametros!$E$3+VALUE(MID(F1117,3,1))/Parametros!$E$4+VALUE(MID(F1117,4,1))/Parametros!$E$5)</f>
        <v/>
      </c>
      <c r="J1117" s="5">
        <f>IF(G1117=0,Parametros!$E$8,Parametros!$E$6+Parametros!$E$6*(Parametros!$E$7/G1117+I1117)/(Parametros!$E$6+Parametros!$E$7/G1117+I1117))</f>
        <v/>
      </c>
      <c r="K1117" s="2" t="inlineStr">
        <is>
          <t>2026-09-25 12:40</t>
        </is>
      </c>
      <c r="L1117" s="6" t="inlineStr">
        <is>
          <t>Válido</t>
        </is>
      </c>
      <c r="M1117" s="2">
        <f>IF(L1117="Válido","Sim","Não")</f>
        <v/>
      </c>
      <c r="N1117" s="2" t="inlineStr"/>
    </row>
    <row r="1118">
      <c r="A1118" s="2" t="inlineStr">
        <is>
          <t>3Bracos_R1101_210W_2026-09-25_12_40.csv</t>
        </is>
      </c>
      <c r="B1118" s="2" t="inlineStr">
        <is>
          <t>210W_3500RPM_R1101</t>
        </is>
      </c>
      <c r="C1118" s="2" t="n">
        <v>210</v>
      </c>
      <c r="D1118" s="2" t="n">
        <v>3500</v>
      </c>
      <c r="E1118" s="3">
        <f>D1118*2/60</f>
        <v/>
      </c>
      <c r="F1118" s="2" t="inlineStr">
        <is>
          <t>1101</t>
        </is>
      </c>
      <c r="G1118" s="2" t="n">
        <v>3</v>
      </c>
      <c r="H1118" s="2">
        <f>INDEX(Parametros!$B$2:$B$9,MATCH(G1118,Parametros!$A$2:$A$9,0))</f>
        <v/>
      </c>
      <c r="I1118" s="4">
        <f>1/(VALUE(MID(F1118,1,1))/Parametros!$E$2+VALUE(MID(F1118,2,1))/Parametros!$E$3+VALUE(MID(F1118,3,1))/Parametros!$E$4+VALUE(MID(F1118,4,1))/Parametros!$E$5)</f>
        <v/>
      </c>
      <c r="J1118" s="5">
        <f>IF(G1118=0,Parametros!$E$8,Parametros!$E$6+Parametros!$E$6*(Parametros!$E$7/G1118+I1118)/(Parametros!$E$6+Parametros!$E$7/G1118+I1118))</f>
        <v/>
      </c>
      <c r="K1118" s="2" t="inlineStr">
        <is>
          <t>2026-09-25 12:40</t>
        </is>
      </c>
      <c r="L1118" s="6" t="inlineStr">
        <is>
          <t>Válido</t>
        </is>
      </c>
      <c r="M1118" s="2">
        <f>IF(L1118="Válido","Sim","Não")</f>
        <v/>
      </c>
      <c r="N1118" s="2" t="inlineStr"/>
    </row>
    <row r="1119">
      <c r="A1119" s="2" t="inlineStr">
        <is>
          <t>2Bracos_R1101_210W_2026-09-25_12_40.csv</t>
        </is>
      </c>
      <c r="B1119" s="2" t="inlineStr">
        <is>
          <t>210W_3500RPM_R1101</t>
        </is>
      </c>
      <c r="C1119" s="2" t="n">
        <v>210</v>
      </c>
      <c r="D1119" s="2" t="n">
        <v>3500</v>
      </c>
      <c r="E1119" s="3">
        <f>D1119*2/60</f>
        <v/>
      </c>
      <c r="F1119" s="2" t="inlineStr">
        <is>
          <t>1101</t>
        </is>
      </c>
      <c r="G1119" s="2" t="n">
        <v>2</v>
      </c>
      <c r="H1119" s="2">
        <f>INDEX(Parametros!$B$2:$B$9,MATCH(G1119,Parametros!$A$2:$A$9,0))</f>
        <v/>
      </c>
      <c r="I1119" s="4">
        <f>1/(VALUE(MID(F1119,1,1))/Parametros!$E$2+VALUE(MID(F1119,2,1))/Parametros!$E$3+VALUE(MID(F1119,3,1))/Parametros!$E$4+VALUE(MID(F1119,4,1))/Parametros!$E$5)</f>
        <v/>
      </c>
      <c r="J1119" s="5">
        <f>IF(G1119=0,Parametros!$E$8,Parametros!$E$6+Parametros!$E$6*(Parametros!$E$7/G1119+I1119)/(Parametros!$E$6+Parametros!$E$7/G1119+I1119))</f>
        <v/>
      </c>
      <c r="K1119" s="2" t="inlineStr">
        <is>
          <t>2026-09-25 12:40</t>
        </is>
      </c>
      <c r="L1119" s="6" t="inlineStr">
        <is>
          <t>Válido</t>
        </is>
      </c>
      <c r="M1119" s="2">
        <f>IF(L1119="Válido","Sim","Não")</f>
        <v/>
      </c>
      <c r="N1119" s="2" t="inlineStr"/>
    </row>
    <row r="1120">
      <c r="A1120" s="2" t="inlineStr">
        <is>
          <t>1Bracos_R1101_210W_2026-09-25_12_40.csv</t>
        </is>
      </c>
      <c r="B1120" s="2" t="inlineStr">
        <is>
          <t>210W_3500RPM_R1101</t>
        </is>
      </c>
      <c r="C1120" s="2" t="n">
        <v>210</v>
      </c>
      <c r="D1120" s="2" t="n">
        <v>3500</v>
      </c>
      <c r="E1120" s="3">
        <f>D1120*2/60</f>
        <v/>
      </c>
      <c r="F1120" s="2" t="inlineStr">
        <is>
          <t>1101</t>
        </is>
      </c>
      <c r="G1120" s="2" t="n">
        <v>1</v>
      </c>
      <c r="H1120" s="2">
        <f>INDEX(Parametros!$B$2:$B$9,MATCH(G1120,Parametros!$A$2:$A$9,0))</f>
        <v/>
      </c>
      <c r="I1120" s="4">
        <f>1/(VALUE(MID(F1120,1,1))/Parametros!$E$2+VALUE(MID(F1120,2,1))/Parametros!$E$3+VALUE(MID(F1120,3,1))/Parametros!$E$4+VALUE(MID(F1120,4,1))/Parametros!$E$5)</f>
        <v/>
      </c>
      <c r="J1120" s="5">
        <f>IF(G1120=0,Parametros!$E$8,Parametros!$E$6+Parametros!$E$6*(Parametros!$E$7/G1120+I1120)/(Parametros!$E$6+Parametros!$E$7/G1120+I1120))</f>
        <v/>
      </c>
      <c r="K1120" s="2" t="inlineStr">
        <is>
          <t>2026-09-25 12:40</t>
        </is>
      </c>
      <c r="L1120" s="6" t="inlineStr">
        <is>
          <t>Válido</t>
        </is>
      </c>
      <c r="M1120" s="2">
        <f>IF(L1120="Válido","Sim","Não")</f>
        <v/>
      </c>
      <c r="N1120" s="2" t="inlineStr"/>
    </row>
    <row r="1121">
      <c r="A1121" s="2" t="inlineStr">
        <is>
          <t>0Bracos_R1101_210W_2026-09-25_12_40.csv</t>
        </is>
      </c>
      <c r="B1121" s="2" t="inlineStr">
        <is>
          <t>210W_3500RPM_R1101</t>
        </is>
      </c>
      <c r="C1121" s="2" t="n">
        <v>210</v>
      </c>
      <c r="D1121" s="2" t="n">
        <v>3500</v>
      </c>
      <c r="E1121" s="3">
        <f>D1121*2/60</f>
        <v/>
      </c>
      <c r="F1121" s="2" t="inlineStr">
        <is>
          <t>1101</t>
        </is>
      </c>
      <c r="G1121" s="2" t="n">
        <v>0</v>
      </c>
      <c r="H1121" s="2">
        <f>INDEX(Parametros!$B$2:$B$9,MATCH(G1121,Parametros!$A$2:$A$9,0))</f>
        <v/>
      </c>
      <c r="I1121" s="4">
        <f>1/(VALUE(MID(F1121,1,1))/Parametros!$E$2+VALUE(MID(F1121,2,1))/Parametros!$E$3+VALUE(MID(F1121,3,1))/Parametros!$E$4+VALUE(MID(F1121,4,1))/Parametros!$E$5)</f>
        <v/>
      </c>
      <c r="J1121" s="5">
        <f>IF(G1121=0,Parametros!$E$8,Parametros!$E$6+Parametros!$E$6*(Parametros!$E$7/G1121+I1121)/(Parametros!$E$6+Parametros!$E$7/G1121+I1121))</f>
        <v/>
      </c>
      <c r="K1121" s="2" t="inlineStr">
        <is>
          <t>2026-09-25 12:40</t>
        </is>
      </c>
      <c r="L1121" s="6" t="inlineStr">
        <is>
          <t>Válido</t>
        </is>
      </c>
      <c r="M1121" s="2">
        <f>IF(L1121="Válido","Sim","Não")</f>
        <v/>
      </c>
      <c r="N1121" s="2" t="inlineStr"/>
    </row>
    <row r="1122">
      <c r="A1122" s="2" t="inlineStr">
        <is>
          <t>7Bracos_R1110_210W_2026-09-25_12_40.csv</t>
        </is>
      </c>
      <c r="B1122" s="2" t="inlineStr">
        <is>
          <t>210W_3500RPM_R1110</t>
        </is>
      </c>
      <c r="C1122" s="2" t="n">
        <v>210</v>
      </c>
      <c r="D1122" s="2" t="n">
        <v>3500</v>
      </c>
      <c r="E1122" s="3">
        <f>D1122*2/60</f>
        <v/>
      </c>
      <c r="F1122" s="2" t="inlineStr">
        <is>
          <t>1110</t>
        </is>
      </c>
      <c r="G1122" s="2" t="n">
        <v>7</v>
      </c>
      <c r="H1122" s="2">
        <f>INDEX(Parametros!$B$2:$B$9,MATCH(G1122,Parametros!$A$2:$A$9,0))</f>
        <v/>
      </c>
      <c r="I1122" s="4">
        <f>1/(VALUE(MID(F1122,1,1))/Parametros!$E$2+VALUE(MID(F1122,2,1))/Parametros!$E$3+VALUE(MID(F1122,3,1))/Parametros!$E$4+VALUE(MID(F1122,4,1))/Parametros!$E$5)</f>
        <v/>
      </c>
      <c r="J1122" s="5">
        <f>IF(G1122=0,Parametros!$E$8,Parametros!$E$6+Parametros!$E$6*(Parametros!$E$7/G1122+I1122)/(Parametros!$E$6+Parametros!$E$7/G1122+I1122))</f>
        <v/>
      </c>
      <c r="K1122" s="2" t="inlineStr">
        <is>
          <t>2026-09-25 12:40</t>
        </is>
      </c>
      <c r="L1122" s="6" t="inlineStr">
        <is>
          <t>Válido</t>
        </is>
      </c>
      <c r="M1122" s="2">
        <f>IF(L1122="Válido","Sim","Não")</f>
        <v/>
      </c>
      <c r="N1122" s="2" t="inlineStr"/>
    </row>
    <row r="1123">
      <c r="A1123" s="2" t="inlineStr">
        <is>
          <t>6Bracos_R1110_210W_2026-09-25_12_40.csv</t>
        </is>
      </c>
      <c r="B1123" s="2" t="inlineStr">
        <is>
          <t>210W_3500RPM_R1110</t>
        </is>
      </c>
      <c r="C1123" s="2" t="n">
        <v>210</v>
      </c>
      <c r="D1123" s="2" t="n">
        <v>3500</v>
      </c>
      <c r="E1123" s="3">
        <f>D1123*2/60</f>
        <v/>
      </c>
      <c r="F1123" s="2" t="inlineStr">
        <is>
          <t>1110</t>
        </is>
      </c>
      <c r="G1123" s="2" t="n">
        <v>6</v>
      </c>
      <c r="H1123" s="2">
        <f>INDEX(Parametros!$B$2:$B$9,MATCH(G1123,Parametros!$A$2:$A$9,0))</f>
        <v/>
      </c>
      <c r="I1123" s="4">
        <f>1/(VALUE(MID(F1123,1,1))/Parametros!$E$2+VALUE(MID(F1123,2,1))/Parametros!$E$3+VALUE(MID(F1123,3,1))/Parametros!$E$4+VALUE(MID(F1123,4,1))/Parametros!$E$5)</f>
        <v/>
      </c>
      <c r="J1123" s="5">
        <f>IF(G1123=0,Parametros!$E$8,Parametros!$E$6+Parametros!$E$6*(Parametros!$E$7/G1123+I1123)/(Parametros!$E$6+Parametros!$E$7/G1123+I1123))</f>
        <v/>
      </c>
      <c r="K1123" s="2" t="inlineStr">
        <is>
          <t>2026-09-25 12:40</t>
        </is>
      </c>
      <c r="L1123" s="6" t="inlineStr">
        <is>
          <t>Válido</t>
        </is>
      </c>
      <c r="M1123" s="2">
        <f>IF(L1123="Válido","Sim","Não")</f>
        <v/>
      </c>
      <c r="N1123" s="2" t="inlineStr"/>
    </row>
    <row r="1124">
      <c r="A1124" s="2" t="inlineStr">
        <is>
          <t>5Bracos_R1110_210W_2026-09-25_12_40.csv</t>
        </is>
      </c>
      <c r="B1124" s="2" t="inlineStr">
        <is>
          <t>210W_3500RPM_R1110</t>
        </is>
      </c>
      <c r="C1124" s="2" t="n">
        <v>210</v>
      </c>
      <c r="D1124" s="2" t="n">
        <v>3500</v>
      </c>
      <c r="E1124" s="3">
        <f>D1124*2/60</f>
        <v/>
      </c>
      <c r="F1124" s="2" t="inlineStr">
        <is>
          <t>1110</t>
        </is>
      </c>
      <c r="G1124" s="2" t="n">
        <v>5</v>
      </c>
      <c r="H1124" s="2">
        <f>INDEX(Parametros!$B$2:$B$9,MATCH(G1124,Parametros!$A$2:$A$9,0))</f>
        <v/>
      </c>
      <c r="I1124" s="4">
        <f>1/(VALUE(MID(F1124,1,1))/Parametros!$E$2+VALUE(MID(F1124,2,1))/Parametros!$E$3+VALUE(MID(F1124,3,1))/Parametros!$E$4+VALUE(MID(F1124,4,1))/Parametros!$E$5)</f>
        <v/>
      </c>
      <c r="J1124" s="5">
        <f>IF(G1124=0,Parametros!$E$8,Parametros!$E$6+Parametros!$E$6*(Parametros!$E$7/G1124+I1124)/(Parametros!$E$6+Parametros!$E$7/G1124+I1124))</f>
        <v/>
      </c>
      <c r="K1124" s="2" t="inlineStr">
        <is>
          <t>2026-09-25 12:40</t>
        </is>
      </c>
      <c r="L1124" s="6" t="inlineStr">
        <is>
          <t>Válido</t>
        </is>
      </c>
      <c r="M1124" s="2">
        <f>IF(L1124="Válido","Sim","Não")</f>
        <v/>
      </c>
      <c r="N1124" s="2" t="inlineStr"/>
    </row>
    <row r="1125">
      <c r="A1125" s="2" t="inlineStr">
        <is>
          <t>4Bracos_R1110_210W_2026-09-25_12_40.csv</t>
        </is>
      </c>
      <c r="B1125" s="2" t="inlineStr">
        <is>
          <t>210W_3500RPM_R1110</t>
        </is>
      </c>
      <c r="C1125" s="2" t="n">
        <v>210</v>
      </c>
      <c r="D1125" s="2" t="n">
        <v>3500</v>
      </c>
      <c r="E1125" s="3">
        <f>D1125*2/60</f>
        <v/>
      </c>
      <c r="F1125" s="2" t="inlineStr">
        <is>
          <t>1110</t>
        </is>
      </c>
      <c r="G1125" s="2" t="n">
        <v>4</v>
      </c>
      <c r="H1125" s="2">
        <f>INDEX(Parametros!$B$2:$B$9,MATCH(G1125,Parametros!$A$2:$A$9,0))</f>
        <v/>
      </c>
      <c r="I1125" s="4">
        <f>1/(VALUE(MID(F1125,1,1))/Parametros!$E$2+VALUE(MID(F1125,2,1))/Parametros!$E$3+VALUE(MID(F1125,3,1))/Parametros!$E$4+VALUE(MID(F1125,4,1))/Parametros!$E$5)</f>
        <v/>
      </c>
      <c r="J1125" s="5">
        <f>IF(G1125=0,Parametros!$E$8,Parametros!$E$6+Parametros!$E$6*(Parametros!$E$7/G1125+I1125)/(Parametros!$E$6+Parametros!$E$7/G1125+I1125))</f>
        <v/>
      </c>
      <c r="K1125" s="2" t="inlineStr">
        <is>
          <t>2026-09-25 12:40</t>
        </is>
      </c>
      <c r="L1125" s="6" t="inlineStr">
        <is>
          <t>Válido</t>
        </is>
      </c>
      <c r="M1125" s="2">
        <f>IF(L1125="Válido","Sim","Não")</f>
        <v/>
      </c>
      <c r="N1125" s="2" t="inlineStr"/>
    </row>
    <row r="1126">
      <c r="A1126" s="2" t="inlineStr">
        <is>
          <t>3Bracos_R1110_210W_2026-09-25_12_40.csv</t>
        </is>
      </c>
      <c r="B1126" s="2" t="inlineStr">
        <is>
          <t>210W_3500RPM_R1110</t>
        </is>
      </c>
      <c r="C1126" s="2" t="n">
        <v>210</v>
      </c>
      <c r="D1126" s="2" t="n">
        <v>3500</v>
      </c>
      <c r="E1126" s="3">
        <f>D1126*2/60</f>
        <v/>
      </c>
      <c r="F1126" s="2" t="inlineStr">
        <is>
          <t>1110</t>
        </is>
      </c>
      <c r="G1126" s="2" t="n">
        <v>3</v>
      </c>
      <c r="H1126" s="2">
        <f>INDEX(Parametros!$B$2:$B$9,MATCH(G1126,Parametros!$A$2:$A$9,0))</f>
        <v/>
      </c>
      <c r="I1126" s="4">
        <f>1/(VALUE(MID(F1126,1,1))/Parametros!$E$2+VALUE(MID(F1126,2,1))/Parametros!$E$3+VALUE(MID(F1126,3,1))/Parametros!$E$4+VALUE(MID(F1126,4,1))/Parametros!$E$5)</f>
        <v/>
      </c>
      <c r="J1126" s="5">
        <f>IF(G1126=0,Parametros!$E$8,Parametros!$E$6+Parametros!$E$6*(Parametros!$E$7/G1126+I1126)/(Parametros!$E$6+Parametros!$E$7/G1126+I1126))</f>
        <v/>
      </c>
      <c r="K1126" s="2" t="inlineStr">
        <is>
          <t>2026-09-25 12:40</t>
        </is>
      </c>
      <c r="L1126" s="6" t="inlineStr">
        <is>
          <t>Válido</t>
        </is>
      </c>
      <c r="M1126" s="2">
        <f>IF(L1126="Válido","Sim","Não")</f>
        <v/>
      </c>
      <c r="N1126" s="2" t="inlineStr"/>
    </row>
    <row r="1127">
      <c r="A1127" s="2" t="inlineStr">
        <is>
          <t>2Bracos_R1110_210W_2026-09-25_12_40.csv</t>
        </is>
      </c>
      <c r="B1127" s="2" t="inlineStr">
        <is>
          <t>210W_3500RPM_R1110</t>
        </is>
      </c>
      <c r="C1127" s="2" t="n">
        <v>210</v>
      </c>
      <c r="D1127" s="2" t="n">
        <v>3500</v>
      </c>
      <c r="E1127" s="3">
        <f>D1127*2/60</f>
        <v/>
      </c>
      <c r="F1127" s="2" t="inlineStr">
        <is>
          <t>1110</t>
        </is>
      </c>
      <c r="G1127" s="2" t="n">
        <v>2</v>
      </c>
      <c r="H1127" s="2">
        <f>INDEX(Parametros!$B$2:$B$9,MATCH(G1127,Parametros!$A$2:$A$9,0))</f>
        <v/>
      </c>
      <c r="I1127" s="4">
        <f>1/(VALUE(MID(F1127,1,1))/Parametros!$E$2+VALUE(MID(F1127,2,1))/Parametros!$E$3+VALUE(MID(F1127,3,1))/Parametros!$E$4+VALUE(MID(F1127,4,1))/Parametros!$E$5)</f>
        <v/>
      </c>
      <c r="J1127" s="5">
        <f>IF(G1127=0,Parametros!$E$8,Parametros!$E$6+Parametros!$E$6*(Parametros!$E$7/G1127+I1127)/(Parametros!$E$6+Parametros!$E$7/G1127+I1127))</f>
        <v/>
      </c>
      <c r="K1127" s="2" t="inlineStr">
        <is>
          <t>2026-09-25 12:40</t>
        </is>
      </c>
      <c r="L1127" s="6" t="inlineStr">
        <is>
          <t>Válido</t>
        </is>
      </c>
      <c r="M1127" s="2">
        <f>IF(L1127="Válido","Sim","Não")</f>
        <v/>
      </c>
      <c r="N1127" s="2" t="inlineStr"/>
    </row>
    <row r="1128">
      <c r="A1128" s="2" t="inlineStr">
        <is>
          <t>1Bracos_R1110_210W_2026-09-25_12_40.csv</t>
        </is>
      </c>
      <c r="B1128" s="2" t="inlineStr">
        <is>
          <t>210W_3500RPM_R1110</t>
        </is>
      </c>
      <c r="C1128" s="2" t="n">
        <v>210</v>
      </c>
      <c r="D1128" s="2" t="n">
        <v>3500</v>
      </c>
      <c r="E1128" s="3">
        <f>D1128*2/60</f>
        <v/>
      </c>
      <c r="F1128" s="2" t="inlineStr">
        <is>
          <t>1110</t>
        </is>
      </c>
      <c r="G1128" s="2" t="n">
        <v>1</v>
      </c>
      <c r="H1128" s="2">
        <f>INDEX(Parametros!$B$2:$B$9,MATCH(G1128,Parametros!$A$2:$A$9,0))</f>
        <v/>
      </c>
      <c r="I1128" s="4">
        <f>1/(VALUE(MID(F1128,1,1))/Parametros!$E$2+VALUE(MID(F1128,2,1))/Parametros!$E$3+VALUE(MID(F1128,3,1))/Parametros!$E$4+VALUE(MID(F1128,4,1))/Parametros!$E$5)</f>
        <v/>
      </c>
      <c r="J1128" s="5">
        <f>IF(G1128=0,Parametros!$E$8,Parametros!$E$6+Parametros!$E$6*(Parametros!$E$7/G1128+I1128)/(Parametros!$E$6+Parametros!$E$7/G1128+I1128))</f>
        <v/>
      </c>
      <c r="K1128" s="2" t="inlineStr">
        <is>
          <t>2026-09-25 12:40</t>
        </is>
      </c>
      <c r="L1128" s="6" t="inlineStr">
        <is>
          <t>Válido</t>
        </is>
      </c>
      <c r="M1128" s="2">
        <f>IF(L1128="Válido","Sim","Não")</f>
        <v/>
      </c>
      <c r="N1128" s="2" t="inlineStr"/>
    </row>
    <row r="1129">
      <c r="A1129" s="2" t="inlineStr">
        <is>
          <t>0Bracos_R1110_210W_2026-09-25_12_40.csv</t>
        </is>
      </c>
      <c r="B1129" s="2" t="inlineStr">
        <is>
          <t>210W_3500RPM_R1110</t>
        </is>
      </c>
      <c r="C1129" s="2" t="n">
        <v>210</v>
      </c>
      <c r="D1129" s="2" t="n">
        <v>3500</v>
      </c>
      <c r="E1129" s="3">
        <f>D1129*2/60</f>
        <v/>
      </c>
      <c r="F1129" s="2" t="inlineStr">
        <is>
          <t>1110</t>
        </is>
      </c>
      <c r="G1129" s="2" t="n">
        <v>0</v>
      </c>
      <c r="H1129" s="2">
        <f>INDEX(Parametros!$B$2:$B$9,MATCH(G1129,Parametros!$A$2:$A$9,0))</f>
        <v/>
      </c>
      <c r="I1129" s="4">
        <f>1/(VALUE(MID(F1129,1,1))/Parametros!$E$2+VALUE(MID(F1129,2,1))/Parametros!$E$3+VALUE(MID(F1129,3,1))/Parametros!$E$4+VALUE(MID(F1129,4,1))/Parametros!$E$5)</f>
        <v/>
      </c>
      <c r="J1129" s="5">
        <f>IF(G1129=0,Parametros!$E$8,Parametros!$E$6+Parametros!$E$6*(Parametros!$E$7/G1129+I1129)/(Parametros!$E$6+Parametros!$E$7/G1129+I1129))</f>
        <v/>
      </c>
      <c r="K1129" s="2" t="inlineStr">
        <is>
          <t>2026-09-25 12:40</t>
        </is>
      </c>
      <c r="L1129" s="6" t="inlineStr">
        <is>
          <t>Válido</t>
        </is>
      </c>
      <c r="M1129" s="2">
        <f>IF(L1129="Válido","Sim","Não")</f>
        <v/>
      </c>
      <c r="N1129" s="2" t="inlineStr"/>
    </row>
    <row r="1130">
      <c r="A1130" s="2" t="inlineStr">
        <is>
          <t>7Bracos_R1111_210W_2026-09-25_12_40.csv</t>
        </is>
      </c>
      <c r="B1130" s="2" t="inlineStr">
        <is>
          <t>210W_3500RPM_R1111</t>
        </is>
      </c>
      <c r="C1130" s="2" t="n">
        <v>210</v>
      </c>
      <c r="D1130" s="2" t="n">
        <v>3500</v>
      </c>
      <c r="E1130" s="3">
        <f>D1130*2/60</f>
        <v/>
      </c>
      <c r="F1130" s="2" t="inlineStr">
        <is>
          <t>1111</t>
        </is>
      </c>
      <c r="G1130" s="2" t="n">
        <v>7</v>
      </c>
      <c r="H1130" s="2">
        <f>INDEX(Parametros!$B$2:$B$9,MATCH(G1130,Parametros!$A$2:$A$9,0))</f>
        <v/>
      </c>
      <c r="I1130" s="4">
        <f>1/(VALUE(MID(F1130,1,1))/Parametros!$E$2+VALUE(MID(F1130,2,1))/Parametros!$E$3+VALUE(MID(F1130,3,1))/Parametros!$E$4+VALUE(MID(F1130,4,1))/Parametros!$E$5)</f>
        <v/>
      </c>
      <c r="J1130" s="5">
        <f>IF(G1130=0,Parametros!$E$8,Parametros!$E$6+Parametros!$E$6*(Parametros!$E$7/G1130+I1130)/(Parametros!$E$6+Parametros!$E$7/G1130+I1130))</f>
        <v/>
      </c>
      <c r="K1130" s="2" t="inlineStr">
        <is>
          <t>2026-09-25 12:40</t>
        </is>
      </c>
      <c r="L1130" s="6" t="inlineStr">
        <is>
          <t>Válido</t>
        </is>
      </c>
      <c r="M1130" s="2">
        <f>IF(L1130="Válido","Sim","Não")</f>
        <v/>
      </c>
      <c r="N1130" s="2" t="inlineStr"/>
    </row>
    <row r="1131">
      <c r="A1131" s="2" t="inlineStr">
        <is>
          <t>6Bracos_R1111_210W_2026-09-25_12_40.csv</t>
        </is>
      </c>
      <c r="B1131" s="2" t="inlineStr">
        <is>
          <t>210W_3500RPM_R1111</t>
        </is>
      </c>
      <c r="C1131" s="2" t="n">
        <v>210</v>
      </c>
      <c r="D1131" s="2" t="n">
        <v>3500</v>
      </c>
      <c r="E1131" s="3">
        <f>D1131*2/60</f>
        <v/>
      </c>
      <c r="F1131" s="2" t="inlineStr">
        <is>
          <t>1111</t>
        </is>
      </c>
      <c r="G1131" s="2" t="n">
        <v>6</v>
      </c>
      <c r="H1131" s="2">
        <f>INDEX(Parametros!$B$2:$B$9,MATCH(G1131,Parametros!$A$2:$A$9,0))</f>
        <v/>
      </c>
      <c r="I1131" s="4">
        <f>1/(VALUE(MID(F1131,1,1))/Parametros!$E$2+VALUE(MID(F1131,2,1))/Parametros!$E$3+VALUE(MID(F1131,3,1))/Parametros!$E$4+VALUE(MID(F1131,4,1))/Parametros!$E$5)</f>
        <v/>
      </c>
      <c r="J1131" s="5">
        <f>IF(G1131=0,Parametros!$E$8,Parametros!$E$6+Parametros!$E$6*(Parametros!$E$7/G1131+I1131)/(Parametros!$E$6+Parametros!$E$7/G1131+I1131))</f>
        <v/>
      </c>
      <c r="K1131" s="2" t="inlineStr">
        <is>
          <t>2026-09-25 12:40</t>
        </is>
      </c>
      <c r="L1131" s="6" t="inlineStr">
        <is>
          <t>Válido</t>
        </is>
      </c>
      <c r="M1131" s="2">
        <f>IF(L1131="Válido","Sim","Não")</f>
        <v/>
      </c>
      <c r="N1131" s="2" t="inlineStr"/>
    </row>
    <row r="1132">
      <c r="A1132" s="2" t="inlineStr">
        <is>
          <t>5Bracos_R1111_210W_2026-09-25_12_40.csv</t>
        </is>
      </c>
      <c r="B1132" s="2" t="inlineStr">
        <is>
          <t>210W_3500RPM_R1111</t>
        </is>
      </c>
      <c r="C1132" s="2" t="n">
        <v>210</v>
      </c>
      <c r="D1132" s="2" t="n">
        <v>3500</v>
      </c>
      <c r="E1132" s="3">
        <f>D1132*2/60</f>
        <v/>
      </c>
      <c r="F1132" s="2" t="inlineStr">
        <is>
          <t>1111</t>
        </is>
      </c>
      <c r="G1132" s="2" t="n">
        <v>5</v>
      </c>
      <c r="H1132" s="2">
        <f>INDEX(Parametros!$B$2:$B$9,MATCH(G1132,Parametros!$A$2:$A$9,0))</f>
        <v/>
      </c>
      <c r="I1132" s="4">
        <f>1/(VALUE(MID(F1132,1,1))/Parametros!$E$2+VALUE(MID(F1132,2,1))/Parametros!$E$3+VALUE(MID(F1132,3,1))/Parametros!$E$4+VALUE(MID(F1132,4,1))/Parametros!$E$5)</f>
        <v/>
      </c>
      <c r="J1132" s="5">
        <f>IF(G1132=0,Parametros!$E$8,Parametros!$E$6+Parametros!$E$6*(Parametros!$E$7/G1132+I1132)/(Parametros!$E$6+Parametros!$E$7/G1132+I1132))</f>
        <v/>
      </c>
      <c r="K1132" s="2" t="inlineStr">
        <is>
          <t>2026-09-25 12:40</t>
        </is>
      </c>
      <c r="L1132" s="6" t="inlineStr">
        <is>
          <t>Válido</t>
        </is>
      </c>
      <c r="M1132" s="2">
        <f>IF(L1132="Válido","Sim","Não")</f>
        <v/>
      </c>
      <c r="N1132" s="2" t="inlineStr"/>
    </row>
    <row r="1133">
      <c r="A1133" s="2" t="inlineStr">
        <is>
          <t>4Bracos_R1111_210W_2026-09-25_12_40.csv</t>
        </is>
      </c>
      <c r="B1133" s="2" t="inlineStr">
        <is>
          <t>210W_3500RPM_R1111</t>
        </is>
      </c>
      <c r="C1133" s="2" t="n">
        <v>210</v>
      </c>
      <c r="D1133" s="2" t="n">
        <v>3500</v>
      </c>
      <c r="E1133" s="3">
        <f>D1133*2/60</f>
        <v/>
      </c>
      <c r="F1133" s="2" t="inlineStr">
        <is>
          <t>1111</t>
        </is>
      </c>
      <c r="G1133" s="2" t="n">
        <v>4</v>
      </c>
      <c r="H1133" s="2">
        <f>INDEX(Parametros!$B$2:$B$9,MATCH(G1133,Parametros!$A$2:$A$9,0))</f>
        <v/>
      </c>
      <c r="I1133" s="4">
        <f>1/(VALUE(MID(F1133,1,1))/Parametros!$E$2+VALUE(MID(F1133,2,1))/Parametros!$E$3+VALUE(MID(F1133,3,1))/Parametros!$E$4+VALUE(MID(F1133,4,1))/Parametros!$E$5)</f>
        <v/>
      </c>
      <c r="J1133" s="5">
        <f>IF(G1133=0,Parametros!$E$8,Parametros!$E$6+Parametros!$E$6*(Parametros!$E$7/G1133+I1133)/(Parametros!$E$6+Parametros!$E$7/G1133+I1133))</f>
        <v/>
      </c>
      <c r="K1133" s="2" t="inlineStr">
        <is>
          <t>2026-09-25 12:40</t>
        </is>
      </c>
      <c r="L1133" s="6" t="inlineStr">
        <is>
          <t>Válido</t>
        </is>
      </c>
      <c r="M1133" s="2">
        <f>IF(L1133="Válido","Sim","Não")</f>
        <v/>
      </c>
      <c r="N1133" s="2" t="inlineStr"/>
    </row>
    <row r="1134">
      <c r="A1134" s="2" t="inlineStr">
        <is>
          <t>3Bracos_R1111_210W_2026-09-25_12_40.csv</t>
        </is>
      </c>
      <c r="B1134" s="2" t="inlineStr">
        <is>
          <t>210W_3500RPM_R1111</t>
        </is>
      </c>
      <c r="C1134" s="2" t="n">
        <v>210</v>
      </c>
      <c r="D1134" s="2" t="n">
        <v>3500</v>
      </c>
      <c r="E1134" s="3">
        <f>D1134*2/60</f>
        <v/>
      </c>
      <c r="F1134" s="2" t="inlineStr">
        <is>
          <t>1111</t>
        </is>
      </c>
      <c r="G1134" s="2" t="n">
        <v>3</v>
      </c>
      <c r="H1134" s="2">
        <f>INDEX(Parametros!$B$2:$B$9,MATCH(G1134,Parametros!$A$2:$A$9,0))</f>
        <v/>
      </c>
      <c r="I1134" s="4">
        <f>1/(VALUE(MID(F1134,1,1))/Parametros!$E$2+VALUE(MID(F1134,2,1))/Parametros!$E$3+VALUE(MID(F1134,3,1))/Parametros!$E$4+VALUE(MID(F1134,4,1))/Parametros!$E$5)</f>
        <v/>
      </c>
      <c r="J1134" s="5">
        <f>IF(G1134=0,Parametros!$E$8,Parametros!$E$6+Parametros!$E$6*(Parametros!$E$7/G1134+I1134)/(Parametros!$E$6+Parametros!$E$7/G1134+I1134))</f>
        <v/>
      </c>
      <c r="K1134" s="2" t="inlineStr">
        <is>
          <t>2026-09-25 12:40</t>
        </is>
      </c>
      <c r="L1134" s="6" t="inlineStr">
        <is>
          <t>Válido</t>
        </is>
      </c>
      <c r="M1134" s="2">
        <f>IF(L1134="Válido","Sim","Não")</f>
        <v/>
      </c>
      <c r="N1134" s="2" t="inlineStr"/>
    </row>
    <row r="1135">
      <c r="A1135" s="2" t="inlineStr">
        <is>
          <t>2Bracos_R1111_210W_2026-09-25_12_40.csv</t>
        </is>
      </c>
      <c r="B1135" s="2" t="inlineStr">
        <is>
          <t>210W_3500RPM_R1111</t>
        </is>
      </c>
      <c r="C1135" s="2" t="n">
        <v>210</v>
      </c>
      <c r="D1135" s="2" t="n">
        <v>3500</v>
      </c>
      <c r="E1135" s="3">
        <f>D1135*2/60</f>
        <v/>
      </c>
      <c r="F1135" s="2" t="inlineStr">
        <is>
          <t>1111</t>
        </is>
      </c>
      <c r="G1135" s="2" t="n">
        <v>2</v>
      </c>
      <c r="H1135" s="2">
        <f>INDEX(Parametros!$B$2:$B$9,MATCH(G1135,Parametros!$A$2:$A$9,0))</f>
        <v/>
      </c>
      <c r="I1135" s="4">
        <f>1/(VALUE(MID(F1135,1,1))/Parametros!$E$2+VALUE(MID(F1135,2,1))/Parametros!$E$3+VALUE(MID(F1135,3,1))/Parametros!$E$4+VALUE(MID(F1135,4,1))/Parametros!$E$5)</f>
        <v/>
      </c>
      <c r="J1135" s="5">
        <f>IF(G1135=0,Parametros!$E$8,Parametros!$E$6+Parametros!$E$6*(Parametros!$E$7/G1135+I1135)/(Parametros!$E$6+Parametros!$E$7/G1135+I1135))</f>
        <v/>
      </c>
      <c r="K1135" s="2" t="inlineStr">
        <is>
          <t>2026-09-25 12:40</t>
        </is>
      </c>
      <c r="L1135" s="6" t="inlineStr">
        <is>
          <t>Válido</t>
        </is>
      </c>
      <c r="M1135" s="2">
        <f>IF(L1135="Válido","Sim","Não")</f>
        <v/>
      </c>
      <c r="N1135" s="2" t="inlineStr"/>
    </row>
    <row r="1136">
      <c r="A1136" s="2" t="inlineStr">
        <is>
          <t>1Bracos_R1111_210W_2026-09-25_12_40.csv</t>
        </is>
      </c>
      <c r="B1136" s="2" t="inlineStr">
        <is>
          <t>210W_3500RPM_R1111</t>
        </is>
      </c>
      <c r="C1136" s="2" t="n">
        <v>210</v>
      </c>
      <c r="D1136" s="2" t="n">
        <v>3500</v>
      </c>
      <c r="E1136" s="3">
        <f>D1136*2/60</f>
        <v/>
      </c>
      <c r="F1136" s="2" t="inlineStr">
        <is>
          <t>1111</t>
        </is>
      </c>
      <c r="G1136" s="2" t="n">
        <v>1</v>
      </c>
      <c r="H1136" s="2">
        <f>INDEX(Parametros!$B$2:$B$9,MATCH(G1136,Parametros!$A$2:$A$9,0))</f>
        <v/>
      </c>
      <c r="I1136" s="4">
        <f>1/(VALUE(MID(F1136,1,1))/Parametros!$E$2+VALUE(MID(F1136,2,1))/Parametros!$E$3+VALUE(MID(F1136,3,1))/Parametros!$E$4+VALUE(MID(F1136,4,1))/Parametros!$E$5)</f>
        <v/>
      </c>
      <c r="J1136" s="5">
        <f>IF(G1136=0,Parametros!$E$8,Parametros!$E$6+Parametros!$E$6*(Parametros!$E$7/G1136+I1136)/(Parametros!$E$6+Parametros!$E$7/G1136+I1136))</f>
        <v/>
      </c>
      <c r="K1136" s="2" t="inlineStr">
        <is>
          <t>2026-09-25 12:40</t>
        </is>
      </c>
      <c r="L1136" s="6" t="inlineStr">
        <is>
          <t>Válido</t>
        </is>
      </c>
      <c r="M1136" s="2">
        <f>IF(L1136="Válido","Sim","Não")</f>
        <v/>
      </c>
      <c r="N1136" s="2" t="inlineStr"/>
    </row>
    <row r="1137">
      <c r="A1137" s="2" t="inlineStr">
        <is>
          <t>0Bracos_R1111_210W_2026-09-25_12_40.csv</t>
        </is>
      </c>
      <c r="B1137" s="2" t="inlineStr">
        <is>
          <t>210W_3500RPM_R1111</t>
        </is>
      </c>
      <c r="C1137" s="2" t="n">
        <v>210</v>
      </c>
      <c r="D1137" s="2" t="n">
        <v>3500</v>
      </c>
      <c r="E1137" s="3">
        <f>D1137*2/60</f>
        <v/>
      </c>
      <c r="F1137" s="2" t="inlineStr">
        <is>
          <t>1111</t>
        </is>
      </c>
      <c r="G1137" s="2" t="n">
        <v>0</v>
      </c>
      <c r="H1137" s="2">
        <f>INDEX(Parametros!$B$2:$B$9,MATCH(G1137,Parametros!$A$2:$A$9,0))</f>
        <v/>
      </c>
      <c r="I1137" s="4">
        <f>1/(VALUE(MID(F1137,1,1))/Parametros!$E$2+VALUE(MID(F1137,2,1))/Parametros!$E$3+VALUE(MID(F1137,3,1))/Parametros!$E$4+VALUE(MID(F1137,4,1))/Parametros!$E$5)</f>
        <v/>
      </c>
      <c r="J1137" s="5">
        <f>IF(G1137=0,Parametros!$E$8,Parametros!$E$6+Parametros!$E$6*(Parametros!$E$7/G1137+I1137)/(Parametros!$E$6+Parametros!$E$7/G1137+I1137))</f>
        <v/>
      </c>
      <c r="K1137" s="2" t="inlineStr">
        <is>
          <t>2026-09-25 12:40</t>
        </is>
      </c>
      <c r="L1137" s="6" t="inlineStr">
        <is>
          <t>Válido</t>
        </is>
      </c>
      <c r="M1137" s="2">
        <f>IF(L1137="Válido","Sim","Não")</f>
        <v/>
      </c>
      <c r="N1137" s="2" t="inlineStr"/>
    </row>
  </sheetData>
  <autoFilter ref="A1:N1137"/>
  <dataValidations count="1">
    <dataValidation sqref="L2:L1137" showDropDown="0" showInputMessage="0" showErrorMessage="0" allowBlank="0" type="list">
      <formula1>"Válido,Substituído (refeito),Falha nos braços de capacitor,Motor fora de regime,Patamar baixo de ripple (suspeita DAQ)"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9" t="inlineStr">
        <is>
          <t>Ensaios válidos por condição</t>
        </is>
      </c>
    </row>
    <row r="3">
      <c r="A3" s="10" t="inlineStr">
        <is>
          <t>Potência (W)</t>
        </is>
      </c>
      <c r="B3" s="10" t="n">
        <v>2700</v>
      </c>
      <c r="C3" s="10" t="n">
        <v>3000</v>
      </c>
      <c r="D3" s="10" t="n">
        <v>3500</v>
      </c>
      <c r="E3" s="10" t="inlineStr">
        <is>
          <t>Total</t>
        </is>
      </c>
    </row>
    <row r="4">
      <c r="A4" s="2" t="n">
        <v>80</v>
      </c>
      <c r="B4" s="2">
        <f>COUNTIFS(Ensaios!$C$2:$C$1137,$A4,Ensaios!$D$2:$D$1137,B$3,Ensaios!$M$2:$M$1137,"Sim")</f>
        <v/>
      </c>
      <c r="C4" s="2">
        <f>COUNTIFS(Ensaios!$C$2:$C$1137,$A4,Ensaios!$D$2:$D$1137,C$3,Ensaios!$M$2:$M$1137,"Sim")</f>
        <v/>
      </c>
      <c r="D4" s="2">
        <f>COUNTIFS(Ensaios!$C$2:$C$1137,$A4,Ensaios!$D$2:$D$1137,D$3,Ensaios!$M$2:$M$1137,"Sim")</f>
        <v/>
      </c>
      <c r="E4" s="2">
        <f>SUM(B4:D4)</f>
        <v/>
      </c>
    </row>
    <row r="5">
      <c r="A5" s="2" t="n">
        <v>150</v>
      </c>
      <c r="B5" s="2">
        <f>COUNTIFS(Ensaios!$C$2:$C$1137,$A5,Ensaios!$D$2:$D$1137,B$3,Ensaios!$M$2:$M$1137,"Sim")</f>
        <v/>
      </c>
      <c r="C5" s="2">
        <f>COUNTIFS(Ensaios!$C$2:$C$1137,$A5,Ensaios!$D$2:$D$1137,C$3,Ensaios!$M$2:$M$1137,"Sim")</f>
        <v/>
      </c>
      <c r="D5" s="2">
        <f>COUNTIFS(Ensaios!$C$2:$C$1137,$A5,Ensaios!$D$2:$D$1137,D$3,Ensaios!$M$2:$M$1137,"Sim")</f>
        <v/>
      </c>
      <c r="E5" s="2">
        <f>SUM(B5:D5)</f>
        <v/>
      </c>
    </row>
    <row r="6">
      <c r="A6" s="2" t="n">
        <v>210</v>
      </c>
      <c r="B6" s="2">
        <f>COUNTIFS(Ensaios!$C$2:$C$1137,$A6,Ensaios!$D$2:$D$1137,B$3,Ensaios!$M$2:$M$1137,"Sim")</f>
        <v/>
      </c>
      <c r="C6" s="2">
        <f>COUNTIFS(Ensaios!$C$2:$C$1137,$A6,Ensaios!$D$2:$D$1137,C$3,Ensaios!$M$2:$M$1137,"Sim")</f>
        <v/>
      </c>
      <c r="D6" s="2">
        <f>COUNTIFS(Ensaios!$C$2:$C$1137,$A6,Ensaios!$D$2:$D$1137,D$3,Ensaios!$M$2:$M$1137,"Sim")</f>
        <v/>
      </c>
      <c r="E6" s="2">
        <f>SUM(B6:D6)</f>
        <v/>
      </c>
    </row>
    <row r="7">
      <c r="A7" s="11" t="inlineStr">
        <is>
          <t>Total</t>
        </is>
      </c>
      <c r="B7" s="11">
        <f>SUM(B4:B6)</f>
        <v/>
      </c>
      <c r="C7" s="11">
        <f>SUM(C4:C6)</f>
        <v/>
      </c>
      <c r="D7" s="11">
        <f>SUM(D4:D6)</f>
        <v/>
      </c>
      <c r="E7" s="11">
        <f>SUM(E4:E6)</f>
        <v/>
      </c>
    </row>
    <row r="9">
      <c r="A9" s="9" t="inlineStr">
        <is>
          <t>Arquivos por status</t>
        </is>
      </c>
    </row>
    <row r="10">
      <c r="A10" s="2" t="inlineStr">
        <is>
          <t>Válido</t>
        </is>
      </c>
      <c r="B10" s="2">
        <f>COUNTIF(Ensaios!$L$2:$L$1137,A10)</f>
        <v/>
      </c>
    </row>
    <row r="11">
      <c r="A11" s="2" t="inlineStr">
        <is>
          <t>Substituído (refeito)</t>
        </is>
      </c>
      <c r="B11" s="2">
        <f>COUNTIF(Ensaios!$L$2:$L$1137,A11)</f>
        <v/>
      </c>
    </row>
    <row r="12">
      <c r="A12" s="2" t="inlineStr">
        <is>
          <t>Falha nos braços de capacitor</t>
        </is>
      </c>
      <c r="B12" s="2">
        <f>COUNTIF(Ensaios!$L$2:$L$1137,A12)</f>
        <v/>
      </c>
    </row>
    <row r="13">
      <c r="A13" s="2" t="inlineStr">
        <is>
          <t>Motor fora de regime</t>
        </is>
      </c>
      <c r="B13" s="2">
        <f>COUNTIF(Ensaios!$L$2:$L$1137,A13)</f>
        <v/>
      </c>
    </row>
    <row r="14">
      <c r="A14" s="2" t="inlineStr">
        <is>
          <t>Patamar baixo de ripple (suspeita DAQ)</t>
        </is>
      </c>
      <c r="B14" s="2">
        <f>COUNTIF(Ensaios!$L$2:$L$1137,A14)</f>
        <v/>
      </c>
    </row>
    <row r="15">
      <c r="A15" s="11" t="inlineStr">
        <is>
          <t>Total de arquivos</t>
        </is>
      </c>
      <c r="B15" s="11">
        <f>SUM(B10:B14)</f>
        <v/>
      </c>
    </row>
    <row r="16">
      <c r="A16" s="12" t="inlineStr">
        <is>
          <t>Esperado por condição: 15 códigos × 8 braços = 120 ensaios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3" customWidth="1" min="3" max="3"/>
    <col width="16" customWidth="1" min="4" max="4"/>
    <col width="10" customWidth="1" min="5" max="5"/>
    <col width="70" customWidth="1" min="6" max="6"/>
  </cols>
  <sheetData>
    <row r="1">
      <c r="A1" s="10" t="inlineStr">
        <is>
          <t>Braços ativos</t>
        </is>
      </c>
      <c r="B1" s="10" t="inlineStr">
        <is>
          <t>Capacitância (µF)</t>
        </is>
      </c>
      <c r="D1" s="10" t="inlineStr">
        <is>
          <t>Parâmetro</t>
        </is>
      </c>
      <c r="E1" s="10" t="inlineStr">
        <is>
          <t>Valor (Ω)</t>
        </is>
      </c>
      <c r="F1" s="10" t="inlineStr">
        <is>
          <t>Descrição</t>
        </is>
      </c>
    </row>
    <row r="2">
      <c r="A2" s="2" t="n">
        <v>0</v>
      </c>
      <c r="B2" s="13" t="n">
        <v>324</v>
      </c>
      <c r="D2" s="2" t="inlineStr">
        <is>
          <t>R_a1</t>
        </is>
      </c>
      <c r="E2" s="13" t="n">
        <v>0.11</v>
      </c>
      <c r="F2" s="2" t="inlineStr">
        <is>
          <t>Braço de resistor 1 (código 1xxx): só MOSFET</t>
        </is>
      </c>
    </row>
    <row r="3">
      <c r="A3" s="2" t="n">
        <v>1</v>
      </c>
      <c r="B3" s="13" t="n">
        <v>490</v>
      </c>
      <c r="D3" s="2" t="inlineStr">
        <is>
          <t>R_a2</t>
        </is>
      </c>
      <c r="E3" s="13" t="n">
        <v>0.58</v>
      </c>
      <c r="F3" s="2" t="inlineStr">
        <is>
          <t>Braço 2 (x1xx): MOSFET + resistor 0,47 Ω</t>
        </is>
      </c>
    </row>
    <row r="4">
      <c r="A4" s="2" t="n">
        <v>2</v>
      </c>
      <c r="B4" s="13" t="n">
        <v>626</v>
      </c>
      <c r="D4" s="2" t="inlineStr">
        <is>
          <t>R_a3</t>
        </is>
      </c>
      <c r="E4" s="13" t="n">
        <v>0.345</v>
      </c>
      <c r="F4" s="2" t="inlineStr">
        <is>
          <t>Braço 3 (xx1x): MOSFET + 2×0,47 Ω em paralelo</t>
        </is>
      </c>
    </row>
    <row r="5">
      <c r="A5" s="2" t="n">
        <v>3</v>
      </c>
      <c r="B5" s="13" t="n">
        <v>739</v>
      </c>
      <c r="D5" s="2" t="inlineStr">
        <is>
          <t>R_a4</t>
        </is>
      </c>
      <c r="E5" s="13" t="n">
        <v>0.45</v>
      </c>
      <c r="F5" s="2" t="inlineStr">
        <is>
          <t>Braço 4 (xxx1): MOSFET + 2×0,68 Ω em paralelo</t>
        </is>
      </c>
    </row>
    <row r="6">
      <c r="A6" s="2" t="n">
        <v>4</v>
      </c>
      <c r="B6" s="13" t="n">
        <v>837</v>
      </c>
      <c r="D6" s="2" t="inlineStr">
        <is>
          <t>R_fixo</t>
        </is>
      </c>
      <c r="E6" s="13" t="n">
        <v>0.1</v>
      </c>
      <c r="F6" s="2" t="inlineStr">
        <is>
          <t>Resistência série fixa do circuito</t>
        </is>
      </c>
    </row>
    <row r="7">
      <c r="A7" s="2" t="n">
        <v>5</v>
      </c>
      <c r="B7" s="13" t="n">
        <v>922</v>
      </c>
      <c r="D7" s="2" t="inlineStr">
        <is>
          <t>R_bracos_cap</t>
        </is>
      </c>
      <c r="E7" s="13" t="n">
        <v>0.51</v>
      </c>
      <c r="F7" s="2" t="inlineStr">
        <is>
          <t>Resistência equivalente de 1 braço de capacitor (divide pelo nº de braços)</t>
        </is>
      </c>
    </row>
    <row r="8">
      <c r="A8" s="2" t="n">
        <v>6</v>
      </c>
      <c r="B8" s="13" t="n">
        <v>994</v>
      </c>
      <c r="D8" s="2" t="inlineStr">
        <is>
          <t>R_sem_bracos</t>
        </is>
      </c>
      <c r="E8" s="13" t="n">
        <v>0.2</v>
      </c>
      <c r="F8" s="2" t="inlineStr">
        <is>
          <t>Resistência série adotada com 0 braços ativos</t>
        </is>
      </c>
    </row>
    <row r="9">
      <c r="A9" s="2" t="n">
        <v>7</v>
      </c>
      <c r="B9" s="13" t="n">
        <v>1056</v>
      </c>
    </row>
    <row r="10">
      <c r="D10" s="12" t="inlineStr">
        <is>
          <t>Fonte: valores de calibração da jiga usados nos scripts MATLAB do repositório (plot_matriz_correlacao_*.m, analisa_psd_bracos.m).</t>
        </is>
      </c>
    </row>
    <row r="11">
      <c r="D11" s="12" t="inlineStr">
        <is>
          <t>R = R_sem_bracos se 0 braços; senão R = R_fixo + R_fixo·S/(R_fixo + S), com S = R_bracos_cap/n + R_paralelo dos braços de resistor ativos.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9" t="inlineStr">
        <is>
          <t>Labels de todos os ensaios estruturados da jiga (gerado em 2026-10-09)</t>
        </is>
      </c>
    </row>
    <row r="2">
      <c r="A2" s="14" t="inlineStr"/>
    </row>
    <row r="3">
      <c r="A3" s="14" t="inlineStr">
        <is>
          <t>Aba Ensaios: uma linha por arquivo CSV em Dados_Ensaios/&lt;Potência&gt;_&lt;Rotação&gt;RPM_R&lt;código&gt;/.</t>
        </is>
      </c>
    </row>
    <row r="4">
      <c r="A4" s="14" t="inlineStr">
        <is>
          <t>Capacitância e Resistência série são calculadas por fórmula a partir da aba Parametros (valores de calibração em azul); alterar os parâmetros atualiza todas as linhas.</t>
        </is>
      </c>
    </row>
    <row r="5">
      <c r="A5" s="14" t="inlineStr">
        <is>
          <t>f elétrica = Rotação × 2 pares de polos / 60.</t>
        </is>
      </c>
    </row>
    <row r="6">
      <c r="A6" s="14" t="inlineStr">
        <is>
          <t>Status (texto em azul, editável pela lista suspensa) foi atribuído pelas checagens automáticas de 2026-10-09:</t>
        </is>
      </c>
    </row>
    <row r="7">
      <c r="A7" s="14" t="inlineStr">
        <is>
          <t xml:space="preserve">  • Substituído (refeito): existe um arquivo mais novo para a mesma potência, rotação, código e braços.</t>
        </is>
      </c>
    </row>
    <row r="8">
      <c r="A8" s="14" t="inlineStr">
        <is>
          <t xml:space="preserve">  • Motor fora de regime: fundamental da tensão do motor a mais de 8 Hz de rotação/30 (resolução da FFT = 10 Hz) ou tensão do motor &lt; 100 V.</t>
        </is>
      </c>
    </row>
    <row r="9">
      <c r="A9" s="14" t="inlineStr">
        <is>
          <t xml:space="preserve">  • Falha nos braços de capacitor: ripple de 120 Hz com 7 braços / com 0 braços &gt; 0,55 na configuração (esperado ~0,35).</t>
        </is>
      </c>
    </row>
    <row r="10">
      <c r="A10" s="14" t="inlineStr">
        <is>
          <t xml:space="preserve">  • Patamar baixo de ripple (suspeita DAQ): só 80W; ripple×C mediano da configuração &lt; 620 (patamar normal ~730). Associado aos reinícios da placa de aquisição.</t>
        </is>
      </c>
    </row>
    <row r="11">
      <c r="A11" s="14" t="inlineStr">
        <is>
          <t xml:space="preserve">  • Válido: passou em todas as checagens.</t>
        </is>
      </c>
    </row>
    <row r="12">
      <c r="A12" s="14" t="inlineStr">
        <is>
          <t>'Usar na análise' = Sim apenas para status Válido (fórmula).</t>
        </is>
      </c>
    </row>
    <row r="13">
      <c r="A13" s="14" t="inlineStr">
        <is>
          <t>Aba Resumo: contagem de ensaios válidos por condição e de arquivos por status (fórmulas).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2026-10-09T16:47:00Z</dcterms:created>
  <dcterms:modified xsi:type="dcterms:W3CDTF">2026-10-09T16:47:00Z</dcterms:modified>
</cp:coreProperties>
</file>